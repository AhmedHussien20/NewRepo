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araho-my.sharepoint.com/personal/emmanuel_hapunda_zambezira_org/Documents/desktop/Gauge Stations Images/HYDRO_DATA/"/>
    </mc:Choice>
  </mc:AlternateContent>
  <xr:revisionPtr revIDLastSave="20" documentId="114_{F5CDDFE7-BD7D-4E2F-BDE7-1D054B1F78B8}" xr6:coauthVersionLast="47" xr6:coauthVersionMax="47" xr10:uidLastSave="{DADD4852-6E02-453D-992C-7E3390C27DFE}"/>
  <bookViews>
    <workbookView xWindow="-108" yWindow="-108" windowWidth="23256" windowHeight="12576" xr2:uid="{00000000-000D-0000-FFFF-FFFF00000000}"/>
  </bookViews>
  <sheets>
    <sheet name="CHAV1920" sheetId="1" r:id="rId1"/>
    <sheet name="RAINFALL" sheetId="2" r:id="rId2"/>
  </sheets>
  <definedNames>
    <definedName name="_xlnm.Print_Area" localSheetId="0">CHAV1920!$B$1:$U$42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44" i="1" l="1"/>
  <c r="R40" i="1"/>
  <c r="Q8" i="1"/>
  <c r="Q41" i="1" s="1"/>
  <c r="AB37" i="1"/>
  <c r="Q40" i="1" l="1"/>
  <c r="Q44" i="1" s="1"/>
  <c r="Q42" i="1"/>
  <c r="AB36" i="1"/>
  <c r="AB35" i="1" l="1"/>
  <c r="AB34" i="1"/>
  <c r="AB33" i="1" l="1"/>
  <c r="AB32" i="1" l="1"/>
  <c r="AB31" i="1" l="1"/>
  <c r="AB30" i="1" l="1"/>
  <c r="AB29" i="1" l="1"/>
  <c r="AB28" i="1" l="1"/>
  <c r="AB27" i="1" l="1"/>
  <c r="AB26" i="1" l="1"/>
  <c r="AB25" i="1" l="1"/>
  <c r="AB24" i="1" l="1"/>
  <c r="AB23" i="1" l="1"/>
  <c r="AB22" i="1" l="1"/>
  <c r="AB21" i="1" l="1"/>
  <c r="AB20" i="1" l="1"/>
  <c r="AB19" i="1" l="1"/>
  <c r="AB18" i="1" l="1"/>
  <c r="AB17" i="1" l="1"/>
  <c r="AB16" i="1" l="1"/>
  <c r="AB15" i="1" l="1"/>
  <c r="AB14" i="1" l="1"/>
  <c r="AB13" i="1" l="1"/>
  <c r="AB12" i="1" l="1"/>
  <c r="AB11" i="1" l="1"/>
  <c r="AB10" i="1" l="1"/>
  <c r="AB9" i="1" l="1"/>
  <c r="AB8" i="1" l="1"/>
  <c r="AA38" i="1" l="1"/>
  <c r="AA37" i="1" l="1"/>
  <c r="AA36" i="1" l="1"/>
  <c r="AA35" i="1" l="1"/>
  <c r="AA34" i="1" l="1"/>
  <c r="AA33" i="1" l="1"/>
  <c r="AA32" i="1" l="1"/>
  <c r="AA31" i="1" l="1"/>
  <c r="AA30" i="1" l="1"/>
  <c r="AA29" i="1" l="1"/>
  <c r="AA28" i="1" l="1"/>
  <c r="AA27" i="1" l="1"/>
  <c r="AA26" i="1" l="1"/>
  <c r="AA25" i="1" l="1"/>
  <c r="AA24" i="1" l="1"/>
  <c r="AA23" i="1" l="1"/>
  <c r="AA22" i="1" l="1"/>
  <c r="AA21" i="1" l="1"/>
  <c r="AA20" i="1" l="1"/>
  <c r="AA19" i="1" l="1"/>
  <c r="AA18" i="1" l="1"/>
  <c r="AA17" i="1" l="1"/>
  <c r="AA16" i="1" l="1"/>
  <c r="AA15" i="1" l="1"/>
  <c r="AA14" i="1" l="1"/>
  <c r="AA13" i="1" l="1"/>
  <c r="AA12" i="1" l="1"/>
  <c r="AA10" i="1" l="1"/>
  <c r="AA11" i="1"/>
  <c r="AA9" i="1" l="1"/>
  <c r="AA8" i="1" l="1"/>
  <c r="Z38" i="1" l="1"/>
  <c r="Z37" i="1" l="1"/>
  <c r="Z36" i="1" l="1"/>
  <c r="Z35" i="1" l="1"/>
  <c r="Z34" i="1" l="1"/>
  <c r="Z33" i="1" l="1"/>
  <c r="Z32" i="1" l="1"/>
  <c r="Z31" i="1" l="1"/>
  <c r="Z30" i="1" l="1"/>
  <c r="Z29" i="1" l="1"/>
  <c r="Z28" i="1" l="1"/>
  <c r="Z27" i="1" l="1"/>
  <c r="Z26" i="1" l="1"/>
  <c r="Z25" i="1" l="1"/>
  <c r="Z24" i="1" l="1"/>
  <c r="Z23" i="1" l="1"/>
  <c r="Z22" i="1" l="1"/>
  <c r="Z21" i="1" l="1"/>
  <c r="Z20" i="1" l="1"/>
  <c r="Z19" i="1"/>
  <c r="Z18" i="1" l="1"/>
  <c r="Z17" i="1" l="1"/>
  <c r="Z16" i="1" l="1"/>
  <c r="Z15" i="1" l="1"/>
  <c r="Z14" i="1" l="1"/>
  <c r="L14" i="1"/>
  <c r="Z12" i="1" l="1"/>
  <c r="Z13" i="1"/>
  <c r="L13" i="1"/>
  <c r="L12" i="1"/>
  <c r="Z11" i="1" l="1"/>
  <c r="Z10" i="1" l="1"/>
  <c r="Z9" i="1" l="1"/>
  <c r="Z8" i="1" l="1"/>
  <c r="Y37" i="1" l="1"/>
  <c r="Y36" i="1" l="1"/>
  <c r="Y35" i="1" l="1"/>
  <c r="Y34" i="1" l="1"/>
  <c r="Y33" i="1" l="1"/>
  <c r="Y32" i="1" l="1"/>
  <c r="Y31" i="1" l="1"/>
  <c r="Y30" i="1" l="1"/>
  <c r="Y29" i="1" l="1"/>
  <c r="Y28" i="1" l="1"/>
  <c r="Y27" i="1" l="1"/>
  <c r="Y26" i="1" l="1"/>
  <c r="Y25" i="1" l="1"/>
  <c r="Y24" i="1" l="1"/>
  <c r="Y23" i="1" l="1"/>
  <c r="Y22" i="1" l="1"/>
  <c r="Y21" i="1" l="1"/>
  <c r="Y20" i="1" l="1"/>
  <c r="Y19" i="1" l="1"/>
  <c r="Y18" i="1" l="1"/>
  <c r="Y17" i="1" l="1"/>
  <c r="Y16" i="1" l="1"/>
  <c r="Y15" i="1" l="1"/>
  <c r="Y14" i="1" l="1"/>
  <c r="Y13" i="1" l="1"/>
  <c r="Y12" i="1" l="1"/>
  <c r="Y11" i="1" l="1"/>
  <c r="Y10" i="1" l="1"/>
  <c r="Y9" i="1" l="1"/>
  <c r="Y8" i="1" l="1"/>
  <c r="X38" i="1" l="1"/>
  <c r="X37" i="1" l="1"/>
  <c r="X36" i="1" l="1"/>
  <c r="X35" i="1" l="1"/>
  <c r="X34" i="1" l="1"/>
  <c r="X33" i="1" l="1"/>
  <c r="X32" i="1" l="1"/>
  <c r="X31" i="1" l="1"/>
  <c r="X30" i="1" l="1"/>
  <c r="X29" i="1" l="1"/>
  <c r="X28" i="1" l="1"/>
  <c r="X27" i="1" l="1"/>
  <c r="X26" i="1" l="1"/>
  <c r="X25" i="1" l="1"/>
  <c r="X24" i="1" l="1"/>
  <c r="X23" i="1" l="1"/>
  <c r="X22" i="1" l="1"/>
  <c r="X21" i="1" l="1"/>
  <c r="X20" i="1" l="1"/>
  <c r="X19" i="1" l="1"/>
  <c r="X18" i="1" l="1"/>
  <c r="X17" i="1" l="1"/>
  <c r="X16" i="1" l="1"/>
  <c r="X15" i="1" l="1"/>
  <c r="X14" i="1" l="1"/>
  <c r="X13" i="1" l="1"/>
  <c r="X12" i="1" l="1"/>
  <c r="X11" i="1" l="1"/>
  <c r="X10" i="1" l="1"/>
  <c r="X9" i="1" l="1"/>
  <c r="X8" i="1" l="1"/>
  <c r="W37" i="1" l="1"/>
  <c r="W36" i="1" l="1"/>
  <c r="W35" i="1" l="1"/>
  <c r="W34" i="1" l="1"/>
  <c r="W33" i="1" l="1"/>
  <c r="W32" i="1" l="1"/>
  <c r="W31" i="1" l="1"/>
  <c r="W30" i="1" l="1"/>
  <c r="W29" i="1" l="1"/>
  <c r="W28" i="1" l="1"/>
  <c r="W27" i="1" l="1"/>
  <c r="W26" i="1" l="1"/>
  <c r="W25" i="1" l="1"/>
  <c r="W24" i="1" l="1"/>
  <c r="W23" i="1" l="1"/>
  <c r="W22" i="1" l="1"/>
  <c r="W21" i="1" l="1"/>
  <c r="W20" i="1" l="1"/>
  <c r="W19" i="1" l="1"/>
  <c r="W18" i="1" l="1"/>
  <c r="W17" i="1" l="1"/>
  <c r="W16" i="1" l="1"/>
  <c r="W15" i="1" l="1"/>
  <c r="W14" i="1" l="1"/>
  <c r="W13" i="1" l="1"/>
  <c r="W12" i="1" l="1"/>
  <c r="W11" i="1" l="1"/>
  <c r="W10" i="1" l="1"/>
  <c r="W9" i="1" l="1"/>
  <c r="W8" i="1" l="1"/>
  <c r="V38" i="1" l="1"/>
  <c r="V37" i="1" l="1"/>
  <c r="V36" i="1"/>
  <c r="U44" i="1" l="1"/>
  <c r="V35" i="1" l="1"/>
  <c r="V34" i="1" l="1"/>
  <c r="V33" i="1" l="1"/>
  <c r="V32" i="1" l="1"/>
  <c r="V31" i="1" l="1"/>
  <c r="V30" i="1" l="1"/>
  <c r="V29" i="1" l="1"/>
  <c r="V28" i="1" l="1"/>
  <c r="V27" i="1" l="1"/>
  <c r="V26" i="1" l="1"/>
  <c r="V25" i="1" l="1"/>
  <c r="V24" i="1" l="1"/>
  <c r="V23" i="1" l="1"/>
  <c r="V22" i="1" l="1"/>
  <c r="V21" i="1"/>
  <c r="V20" i="1" l="1"/>
  <c r="V19" i="1" l="1"/>
  <c r="V18" i="1" l="1"/>
  <c r="V17" i="1" l="1"/>
  <c r="V16" i="1" l="1"/>
  <c r="V15" i="1" l="1"/>
  <c r="V14" i="1" l="1"/>
  <c r="V13" i="1" l="1"/>
  <c r="V12" i="1" l="1"/>
  <c r="V11" i="1" l="1"/>
  <c r="V10" i="1" l="1"/>
  <c r="V9" i="1" l="1"/>
  <c r="V8" i="1"/>
  <c r="U36" i="1" l="1"/>
  <c r="U35" i="1" l="1"/>
  <c r="U34" i="1" l="1"/>
  <c r="U33" i="1" l="1"/>
  <c r="U32" i="1" l="1"/>
  <c r="U31" i="1" l="1"/>
  <c r="U30" i="1" l="1"/>
  <c r="U29" i="1"/>
  <c r="U28" i="1" l="1"/>
  <c r="U27" i="1" l="1"/>
  <c r="U26" i="1" l="1"/>
  <c r="U25" i="1" l="1"/>
  <c r="U24" i="1" l="1"/>
  <c r="U23" i="1" l="1"/>
  <c r="U22" i="1" l="1"/>
  <c r="U21" i="1" l="1"/>
  <c r="U20" i="1" l="1"/>
  <c r="U19" i="1" l="1"/>
  <c r="U18" i="1" l="1"/>
  <c r="U17" i="1" l="1"/>
  <c r="U16" i="1" l="1"/>
  <c r="U15" i="1"/>
  <c r="U14" i="1" l="1"/>
  <c r="U13" i="1" l="1"/>
  <c r="U12" i="1" l="1"/>
  <c r="U11" i="1" l="1"/>
  <c r="U9" i="1" l="1"/>
  <c r="U10" i="1"/>
  <c r="U8" i="1"/>
  <c r="T38" i="1" l="1"/>
  <c r="T37" i="1" l="1"/>
  <c r="T36" i="1" l="1"/>
  <c r="T35" i="1" l="1"/>
  <c r="T34" i="1" l="1"/>
  <c r="T33" i="1"/>
  <c r="T32" i="1"/>
  <c r="T31" i="1" l="1"/>
  <c r="T30" i="1" l="1"/>
  <c r="T29" i="1" l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 l="1"/>
  <c r="S23" i="1" l="1"/>
  <c r="S22" i="1"/>
  <c r="S21" i="1"/>
  <c r="S20" i="1" l="1"/>
  <c r="S19" i="1" l="1"/>
  <c r="S18" i="1"/>
  <c r="S17" i="1" l="1"/>
  <c r="S14" i="1" l="1"/>
  <c r="S15" i="1"/>
  <c r="S16" i="1"/>
  <c r="S13" i="1" l="1"/>
  <c r="S12" i="1" l="1"/>
  <c r="S11" i="1" l="1"/>
  <c r="S10" i="1" l="1"/>
  <c r="S9" i="1" l="1"/>
  <c r="S8" i="1"/>
  <c r="R36" i="1"/>
  <c r="R37" i="1"/>
  <c r="R34" i="1" l="1"/>
  <c r="R35" i="1"/>
  <c r="R30" i="1" l="1"/>
  <c r="R31" i="1"/>
  <c r="R32" i="1"/>
  <c r="R33" i="1"/>
  <c r="R29" i="1" l="1"/>
  <c r="R28" i="1" l="1"/>
  <c r="R27" i="1" l="1"/>
  <c r="R26" i="1"/>
  <c r="R23" i="1" l="1"/>
  <c r="R24" i="1"/>
  <c r="R25" i="1"/>
  <c r="R22" i="1" l="1"/>
  <c r="R19" i="1" l="1"/>
  <c r="R20" i="1"/>
  <c r="R21" i="1"/>
  <c r="R12" i="1" l="1"/>
  <c r="R13" i="1"/>
  <c r="R14" i="1"/>
  <c r="R15" i="1"/>
  <c r="R16" i="1"/>
  <c r="R17" i="1"/>
  <c r="R18" i="1"/>
  <c r="R9" i="1" l="1"/>
  <c r="R10" i="1"/>
  <c r="R11" i="1"/>
  <c r="R8" i="1"/>
  <c r="Q37" i="1" l="1"/>
  <c r="Q38" i="1"/>
  <c r="Q29" i="1" l="1"/>
  <c r="Q30" i="1"/>
  <c r="Q31" i="1"/>
  <c r="Q32" i="1"/>
  <c r="Q33" i="1"/>
  <c r="Q34" i="1"/>
  <c r="Q35" i="1"/>
  <c r="Q36" i="1"/>
  <c r="Q24" i="1" l="1"/>
  <c r="Q25" i="1"/>
  <c r="Q26" i="1"/>
  <c r="Q27" i="1"/>
  <c r="Q28" i="1"/>
  <c r="Q23" i="1" l="1"/>
  <c r="Q22" i="1"/>
  <c r="Q21" i="1"/>
  <c r="Q20" i="1"/>
  <c r="Q19" i="1"/>
  <c r="Q18" i="1"/>
  <c r="Q17" i="1"/>
  <c r="Q16" i="1"/>
  <c r="Q15" i="1"/>
  <c r="Q14" i="1"/>
  <c r="Q13" i="1"/>
  <c r="Q12" i="1"/>
  <c r="Q11" i="1"/>
  <c r="Q10" i="1" l="1"/>
  <c r="R44" i="1" l="1"/>
  <c r="S40" i="1"/>
  <c r="T40" i="1"/>
  <c r="T44" i="1" s="1"/>
  <c r="U40" i="1"/>
  <c r="V40" i="1"/>
  <c r="V44" i="1" s="1"/>
  <c r="W40" i="1"/>
  <c r="W44" i="1" s="1"/>
  <c r="X40" i="1"/>
  <c r="X44" i="1" s="1"/>
  <c r="Y40" i="1"/>
  <c r="Y44" i="1" s="1"/>
  <c r="Z40" i="1"/>
  <c r="Z44" i="1" s="1"/>
  <c r="AA40" i="1"/>
  <c r="AA44" i="1" s="1"/>
  <c r="AB40" i="1"/>
  <c r="AB44" i="1" s="1"/>
  <c r="R41" i="1"/>
  <c r="S41" i="1"/>
  <c r="T41" i="1"/>
  <c r="U41" i="1"/>
  <c r="V41" i="1"/>
  <c r="W41" i="1"/>
  <c r="X41" i="1"/>
  <c r="Y41" i="1"/>
  <c r="Z41" i="1"/>
  <c r="AA41" i="1"/>
  <c r="AB41" i="1"/>
  <c r="R42" i="1"/>
  <c r="S42" i="1"/>
  <c r="T42" i="1"/>
  <c r="U42" i="1"/>
  <c r="V42" i="1"/>
  <c r="W42" i="1"/>
  <c r="X42" i="1"/>
  <c r="Y42" i="1"/>
  <c r="Z42" i="1"/>
  <c r="AA42" i="1"/>
  <c r="AB42" i="1"/>
  <c r="N44" i="2" l="1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J40" i="1" l="1"/>
  <c r="J41" i="1"/>
  <c r="J42" i="1"/>
  <c r="Q9" i="1" l="1"/>
  <c r="C40" i="1"/>
  <c r="D40" i="1"/>
  <c r="E40" i="1"/>
  <c r="F40" i="1"/>
  <c r="G40" i="1"/>
  <c r="H40" i="1"/>
  <c r="I40" i="1"/>
  <c r="K40" i="1"/>
  <c r="L40" i="1"/>
  <c r="M40" i="1"/>
  <c r="N40" i="1"/>
  <c r="C41" i="1"/>
  <c r="D41" i="1"/>
  <c r="E41" i="1"/>
  <c r="F41" i="1"/>
  <c r="G41" i="1"/>
  <c r="H41" i="1"/>
  <c r="I41" i="1"/>
  <c r="K41" i="1"/>
  <c r="L41" i="1"/>
  <c r="M41" i="1"/>
  <c r="N41" i="1"/>
  <c r="C42" i="1"/>
  <c r="D42" i="1"/>
  <c r="E42" i="1"/>
  <c r="F42" i="1"/>
  <c r="G42" i="1"/>
  <c r="H42" i="1"/>
  <c r="I42" i="1"/>
  <c r="K42" i="1"/>
  <c r="L42" i="1"/>
  <c r="M42" i="1"/>
  <c r="N42" i="1"/>
  <c r="Q45" i="1" l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</calcChain>
</file>

<file path=xl/sharedStrings.xml><?xml version="1.0" encoding="utf-8"?>
<sst xmlns="http://schemas.openxmlformats.org/spreadsheetml/2006/main" count="65" uniqueCount="50">
  <si>
    <t xml:space="preserve">             </t>
  </si>
  <si>
    <t xml:space="preserve">        Zambezi River Authority              </t>
  </si>
  <si>
    <t>Zambezi River At CHAVUMA MISSION</t>
  </si>
  <si>
    <t xml:space="preserve">         </t>
  </si>
  <si>
    <t xml:space="preserve">    </t>
  </si>
  <si>
    <t xml:space="preserve">     Oct</t>
  </si>
  <si>
    <t xml:space="preserve">     Nov</t>
  </si>
  <si>
    <t xml:space="preserve">    Dec </t>
  </si>
  <si>
    <t xml:space="preserve">    Jan</t>
  </si>
  <si>
    <t xml:space="preserve">    Feb</t>
  </si>
  <si>
    <t xml:space="preserve">     Mar</t>
  </si>
  <si>
    <t xml:space="preserve">     May</t>
  </si>
  <si>
    <t xml:space="preserve">     Aug</t>
  </si>
  <si>
    <t>Sep</t>
  </si>
  <si>
    <t>DAY</t>
  </si>
  <si>
    <t>Oct</t>
  </si>
  <si>
    <t xml:space="preserve"> Nov</t>
  </si>
  <si>
    <t>Dec</t>
  </si>
  <si>
    <t xml:space="preserve"> Jan</t>
  </si>
  <si>
    <t>Feb</t>
  </si>
  <si>
    <t>Mar</t>
  </si>
  <si>
    <t>Apr</t>
  </si>
  <si>
    <t>May</t>
  </si>
  <si>
    <t>Aug</t>
  </si>
  <si>
    <t>Mean:</t>
  </si>
  <si>
    <t>Max.:</t>
  </si>
  <si>
    <t>Min.:</t>
  </si>
  <si>
    <t>Jun</t>
  </si>
  <si>
    <t>Jul</t>
  </si>
  <si>
    <t>Note: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</si>
  <si>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</si>
  <si>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</si>
  <si>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</si>
  <si>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</si>
  <si>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</si>
  <si>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</si>
  <si>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</si>
  <si>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</si>
  <si>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</si>
  <si>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</si>
  <si>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</si>
  <si>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</si>
  <si>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</si>
  <si>
    <t xml:space="preserve">Maximum  </t>
  </si>
  <si>
    <t>Zambezi River at Chavuma -  Met Station</t>
  </si>
  <si>
    <t>Daily Water Levels (metres) for the year 2019/20</t>
  </si>
  <si>
    <t>Mean Daily Flows (m3/s)  2019/20</t>
  </si>
  <si>
    <t>Daily Rainfall in millimetres for Year: 2019/2020</t>
  </si>
  <si>
    <t>Red entries are extrapolations due to fallen gauge plate</t>
  </si>
  <si>
    <t>Flag: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</si>
</sst>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u/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120AB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2" fontId="0" fillId="0" borderId="0" xfId="0" applyNumberFormat="1"/>
    <xf numFmtId="1" fontId="0" fillId="0" borderId="0" xfId="0" applyNumberFormat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2" fontId="1" fillId="0" borderId="0" xfId="0" applyNumberFormat="1" applyFont="1"/>
    <xf numFmtId="164" fontId="0" fillId="0" borderId="0" xfId="0" applyNumberFormat="1"/>
    <xf numFmtId="2" fontId="0" fillId="0" borderId="0" xfId="0" applyNumberFormat="1" applyAlignment="1">
      <alignment horizontal="right"/>
    </xf>
    <xf numFmtId="164" fontId="2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164" fontId="5" fillId="0" borderId="0" xfId="0" applyNumberFormat="1" applyFont="1"/>
    <xf numFmtId="164" fontId="8" fillId="0" borderId="0" xfId="0" applyNumberFormat="1" applyFont="1"/>
    <xf numFmtId="2" fontId="7" fillId="0" borderId="0" xfId="0" applyNumberFormat="1" applyFont="1"/>
    <xf numFmtId="2" fontId="6" fillId="0" borderId="0" xfId="0" applyNumberFormat="1" applyFont="1"/>
    <xf numFmtId="164" fontId="0" fillId="0" borderId="0" xfId="0" applyNumberFormat="1" applyAlignment="1">
      <alignment horizontal="right"/>
    </xf>
    <xf numFmtId="0" fontId="0" fillId="0" borderId="0" xfId="0"/>
    <xf numFmtId="2" fontId="9" fillId="0" borderId="0" xfId="0" applyNumberFormat="1" applyFont="1"/>
    <xf numFmtId="2" fontId="0" fillId="0" borderId="1" xfId="0" applyNumberFormat="1" applyBorder="1"/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64" fontId="11" fillId="0" borderId="0" xfId="0" applyNumberFormat="1" applyFont="1"/>
    <xf numFmtId="164" fontId="12" fillId="0" borderId="0" xfId="0" applyNumberFormat="1" applyFont="1"/>
    <xf numFmtId="1" fontId="12" fillId="0" borderId="0" xfId="0" applyNumberFormat="1" applyFont="1"/>
    <xf numFmtId="164" fontId="13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20AB6"/>
      <color rgb="FF1216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B151"/>
  <sheetViews>
    <sheetView tabSelected="1" topLeftCell="A6" workbookViewId="0">
      <selection activeCell="Q38" sqref="Q8:Q38"/>
    </sheetView>
  </sheetViews>
  <sheetFormatPr defaultColWidth="10.33203125" defaultRowHeight="13.2" x14ac:dyDescent="0.25"/>
  <cols>
    <col min="1" max="1" width="5.44140625" customWidth="1"/>
    <col min="2" max="2" width="4.6640625" customWidth="1"/>
    <col min="3" max="13" width="8.109375" customWidth="1"/>
    <col min="14" max="14" width="8.109375" style="5" customWidth="1"/>
    <col min="15" max="15" width="10.33203125" customWidth="1"/>
    <col min="16" max="16" width="9.6640625" customWidth="1"/>
    <col min="17" max="28" width="6.5546875" customWidth="1"/>
  </cols>
  <sheetData>
    <row r="1" spans="2:28" ht="15" x14ac:dyDescent="0.25">
      <c r="B1" t="s">
        <v>0</v>
      </c>
      <c r="D1" s="4" t="s">
        <v>1</v>
      </c>
      <c r="N1" s="7"/>
    </row>
    <row r="2" spans="2:28" ht="15" x14ac:dyDescent="0.25">
      <c r="B2" t="s">
        <v>0</v>
      </c>
      <c r="N2" s="7"/>
    </row>
    <row r="3" spans="2:28" ht="15" x14ac:dyDescent="0.25">
      <c r="D3" s="4" t="s">
        <v>2</v>
      </c>
      <c r="N3" s="7"/>
      <c r="Q3" s="4" t="s">
        <v>2</v>
      </c>
    </row>
    <row r="4" spans="2:28" ht="15" x14ac:dyDescent="0.25">
      <c r="N4" s="7"/>
    </row>
    <row r="5" spans="2:28" ht="15" x14ac:dyDescent="0.25">
      <c r="B5" t="s">
        <v>3</v>
      </c>
      <c r="C5" t="s">
        <v>0</v>
      </c>
      <c r="D5" s="4" t="s">
        <v>45</v>
      </c>
      <c r="N5" s="7"/>
      <c r="Q5" s="8" t="s">
        <v>46</v>
      </c>
    </row>
    <row r="6" spans="2:28" ht="15" x14ac:dyDescent="0.25">
      <c r="N6" s="7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28" ht="15" x14ac:dyDescent="0.25">
      <c r="B7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15" t="s">
        <v>21</v>
      </c>
      <c r="J7" s="6" t="s">
        <v>11</v>
      </c>
      <c r="K7" s="6" t="s">
        <v>27</v>
      </c>
      <c r="L7" s="6" t="s">
        <v>28</v>
      </c>
      <c r="M7" s="6" t="s">
        <v>12</v>
      </c>
      <c r="N7" s="15" t="s">
        <v>13</v>
      </c>
      <c r="P7" s="6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27</v>
      </c>
      <c r="Z7" s="3" t="s">
        <v>28</v>
      </c>
      <c r="AA7" s="3" t="s">
        <v>23</v>
      </c>
      <c r="AB7" s="3" t="s">
        <v>13</v>
      </c>
    </row>
    <row r="8" spans="2:28" x14ac:dyDescent="0.25">
      <c r="B8" s="1">
        <v>1</v>
      </c>
      <c r="C8" s="5">
        <v>4.0350000000000001</v>
      </c>
      <c r="D8" s="10">
        <v>4.0419999999999998</v>
      </c>
      <c r="E8" s="9">
        <v>4.2729999999999997</v>
      </c>
      <c r="F8" s="10">
        <v>4.7240000000000002</v>
      </c>
      <c r="G8" s="9">
        <v>6.3129999999999997</v>
      </c>
      <c r="H8" s="10">
        <v>9.5370000000000008</v>
      </c>
      <c r="I8" s="9">
        <v>9.99</v>
      </c>
      <c r="J8" s="10">
        <v>7.1950000000000003</v>
      </c>
      <c r="K8" s="10">
        <v>5.6020000000000003</v>
      </c>
      <c r="L8" s="10">
        <v>5.0339999999999998</v>
      </c>
      <c r="M8" s="31">
        <v>4.7388585106159429</v>
      </c>
      <c r="N8" s="10">
        <v>4.5110000000000001</v>
      </c>
      <c r="P8" s="1">
        <v>1</v>
      </c>
      <c r="Q8" s="1">
        <f>198.426*(C8-3.623)^1.787</f>
        <v>40.683649371947396</v>
      </c>
      <c r="R8" s="1">
        <f t="shared" ref="Q8:Y38" si="0">198.426*(D8-3.623)^1.787</f>
        <v>41.927120507022664</v>
      </c>
      <c r="S8" s="1">
        <f t="shared" si="0"/>
        <v>91.8913741408482</v>
      </c>
      <c r="T8" s="1">
        <f t="shared" si="0"/>
        <v>235.65275242324765</v>
      </c>
      <c r="U8" s="1">
        <f t="shared" si="0"/>
        <v>1162.9630115137959</v>
      </c>
      <c r="V8" s="1">
        <f t="shared" si="0"/>
        <v>4752.810478539026</v>
      </c>
      <c r="W8" s="1">
        <f t="shared" si="0"/>
        <v>5422.881999298751</v>
      </c>
      <c r="X8" s="1">
        <f t="shared" si="0"/>
        <v>1930.4179144797172</v>
      </c>
      <c r="Y8" s="1">
        <f t="shared" si="0"/>
        <v>671.96586486591275</v>
      </c>
      <c r="Z8" s="1">
        <f t="shared" ref="Z8:AB38" si="1">198.426*(L8-3.623)^1.787</f>
        <v>367.1160325501283</v>
      </c>
      <c r="AA8" s="30">
        <f t="shared" si="1"/>
        <v>241.36600000000021</v>
      </c>
      <c r="AB8" s="32">
        <f t="shared" si="1"/>
        <v>160.47690784082334</v>
      </c>
    </row>
    <row r="9" spans="2:28" x14ac:dyDescent="0.25">
      <c r="B9" s="1">
        <v>2</v>
      </c>
      <c r="C9" s="5">
        <v>4.03</v>
      </c>
      <c r="D9" s="10">
        <v>4.0469999999999997</v>
      </c>
      <c r="E9" s="10">
        <v>4.2990000000000004</v>
      </c>
      <c r="F9" s="10">
        <v>4.758</v>
      </c>
      <c r="G9" s="9">
        <v>6.3869999999999996</v>
      </c>
      <c r="H9" s="10">
        <v>9.4939999999999998</v>
      </c>
      <c r="I9" s="10">
        <v>10.007999999999999</v>
      </c>
      <c r="J9" s="10">
        <v>7.0389999999999997</v>
      </c>
      <c r="K9" s="10">
        <v>5.5709999999999997</v>
      </c>
      <c r="L9" s="10">
        <v>5.0229999999999997</v>
      </c>
      <c r="M9" s="31">
        <v>4.730282286599599</v>
      </c>
      <c r="N9" s="10">
        <v>4.508</v>
      </c>
      <c r="P9" s="1">
        <v>2</v>
      </c>
      <c r="Q9" s="1">
        <f t="shared" si="0"/>
        <v>39.805564476959027</v>
      </c>
      <c r="R9" s="1">
        <f t="shared" si="0"/>
        <v>42.825393623514962</v>
      </c>
      <c r="S9" s="1">
        <f t="shared" si="0"/>
        <v>98.562865990467017</v>
      </c>
      <c r="T9" s="1">
        <f t="shared" si="0"/>
        <v>248.81478438521145</v>
      </c>
      <c r="U9" s="1">
        <f t="shared" si="0"/>
        <v>1220.7508991596148</v>
      </c>
      <c r="V9" s="1">
        <f t="shared" si="0"/>
        <v>4691.233666260161</v>
      </c>
      <c r="W9" s="1">
        <f t="shared" si="0"/>
        <v>5450.3087986809433</v>
      </c>
      <c r="X9" s="1">
        <f t="shared" si="0"/>
        <v>1782.3582352910098</v>
      </c>
      <c r="Y9" s="1">
        <f t="shared" si="0"/>
        <v>653.27198744533575</v>
      </c>
      <c r="Z9" s="1">
        <f t="shared" si="1"/>
        <v>362.01734371532018</v>
      </c>
      <c r="AA9" s="30">
        <f t="shared" si="1"/>
        <v>238.06099999999989</v>
      </c>
      <c r="AB9" s="32">
        <f t="shared" si="1"/>
        <v>159.50937098241019</v>
      </c>
    </row>
    <row r="10" spans="2:28" x14ac:dyDescent="0.25">
      <c r="B10" s="1">
        <v>3</v>
      </c>
      <c r="C10" s="5">
        <v>4.0289999999999999</v>
      </c>
      <c r="D10" s="10">
        <v>4.048</v>
      </c>
      <c r="E10" s="10">
        <v>4.3209999999999997</v>
      </c>
      <c r="F10" s="10">
        <v>4.7759999999999998</v>
      </c>
      <c r="G10" s="10">
        <v>6.4880000000000004</v>
      </c>
      <c r="H10" s="10">
        <v>9.4589999999999996</v>
      </c>
      <c r="I10" s="10">
        <v>10.087999999999999</v>
      </c>
      <c r="J10" s="10">
        <v>6.95</v>
      </c>
      <c r="K10" s="10">
        <v>5.5419999999999998</v>
      </c>
      <c r="L10" s="10">
        <v>5.0119999999999996</v>
      </c>
      <c r="M10" s="31">
        <v>4.7218105892542486</v>
      </c>
      <c r="N10" s="10">
        <v>4.5090000000000003</v>
      </c>
      <c r="P10" s="1">
        <v>3</v>
      </c>
      <c r="Q10" s="1">
        <f t="shared" si="0"/>
        <v>39.630960647465962</v>
      </c>
      <c r="R10" s="1">
        <f t="shared" si="0"/>
        <v>43.006053978388415</v>
      </c>
      <c r="S10" s="1">
        <f t="shared" si="0"/>
        <v>104.36820588625936</v>
      </c>
      <c r="T10" s="1">
        <f t="shared" si="0"/>
        <v>255.91017265345792</v>
      </c>
      <c r="U10" s="1">
        <f t="shared" si="0"/>
        <v>1301.6082267820948</v>
      </c>
      <c r="V10" s="1">
        <f t="shared" si="0"/>
        <v>4641.3742532671822</v>
      </c>
      <c r="W10" s="1">
        <f t="shared" si="0"/>
        <v>5572.9422078784246</v>
      </c>
      <c r="X10" s="1">
        <f t="shared" si="0"/>
        <v>1700.2270948963098</v>
      </c>
      <c r="Y10" s="1">
        <f t="shared" si="0"/>
        <v>635.99478936005573</v>
      </c>
      <c r="Z10" s="1">
        <f t="shared" si="1"/>
        <v>356.95008590511162</v>
      </c>
      <c r="AA10" s="30">
        <f t="shared" si="1"/>
        <v>234.8160000000002</v>
      </c>
      <c r="AB10" s="32">
        <f t="shared" si="1"/>
        <v>159.83159694325636</v>
      </c>
    </row>
    <row r="11" spans="2:28" x14ac:dyDescent="0.25">
      <c r="B11" s="1">
        <v>4</v>
      </c>
      <c r="C11" s="5">
        <v>4.0289999999999999</v>
      </c>
      <c r="D11" s="10">
        <v>4.0519999999999996</v>
      </c>
      <c r="E11" s="10">
        <v>4.3380000000000001</v>
      </c>
      <c r="F11" s="10">
        <v>4.8040000000000003</v>
      </c>
      <c r="G11" s="10">
        <v>6.5419999999999998</v>
      </c>
      <c r="H11" s="10">
        <v>9.3979999999999997</v>
      </c>
      <c r="I11" s="10">
        <v>10.18</v>
      </c>
      <c r="J11" s="10">
        <v>6.8659999999999997</v>
      </c>
      <c r="K11" s="10">
        <v>5.5149999999999997</v>
      </c>
      <c r="L11" s="10">
        <v>5</v>
      </c>
      <c r="M11" s="31">
        <v>4.7134373434147916</v>
      </c>
      <c r="N11" s="10">
        <v>4.5019999999999998</v>
      </c>
      <c r="P11" s="1">
        <v>4</v>
      </c>
      <c r="Q11" s="1">
        <f t="shared" si="0"/>
        <v>39.630960647465962</v>
      </c>
      <c r="R11" s="1">
        <f t="shared" si="0"/>
        <v>43.732042230387094</v>
      </c>
      <c r="S11" s="1">
        <f t="shared" si="0"/>
        <v>108.95407409955091</v>
      </c>
      <c r="T11" s="1">
        <f t="shared" si="0"/>
        <v>267.12168446937028</v>
      </c>
      <c r="U11" s="1">
        <f t="shared" si="0"/>
        <v>1345.7732929619551</v>
      </c>
      <c r="V11" s="1">
        <f t="shared" si="0"/>
        <v>4555.0377572737343</v>
      </c>
      <c r="W11" s="1">
        <f t="shared" si="0"/>
        <v>5715.4540940654069</v>
      </c>
      <c r="X11" s="1">
        <f t="shared" si="0"/>
        <v>1624.2795442737138</v>
      </c>
      <c r="Y11" s="1">
        <f t="shared" si="0"/>
        <v>620.09273142337292</v>
      </c>
      <c r="Z11" s="1">
        <f t="shared" si="1"/>
        <v>351.4580773686713</v>
      </c>
      <c r="AA11" s="30">
        <f t="shared" si="1"/>
        <v>231.62799999999993</v>
      </c>
      <c r="AB11" s="32">
        <f t="shared" si="1"/>
        <v>157.58203239431245</v>
      </c>
    </row>
    <row r="12" spans="2:28" x14ac:dyDescent="0.25">
      <c r="B12" s="1">
        <v>5</v>
      </c>
      <c r="C12" s="5">
        <v>4.032</v>
      </c>
      <c r="D12" s="10">
        <v>4.0570000000000004</v>
      </c>
      <c r="E12" s="10">
        <v>4.351</v>
      </c>
      <c r="F12" s="10">
        <v>4.8179999999999996</v>
      </c>
      <c r="G12" s="10">
        <v>6.569</v>
      </c>
      <c r="H12" s="10">
        <v>9.31</v>
      </c>
      <c r="I12" s="10">
        <v>10.237</v>
      </c>
      <c r="J12" s="10">
        <v>6.7830000000000004</v>
      </c>
      <c r="K12" s="10">
        <v>5.4870000000000001</v>
      </c>
      <c r="L12" s="29">
        <f>L11-0.011</f>
        <v>4.9889999999999999</v>
      </c>
      <c r="M12" s="31">
        <v>4.7050000000000001</v>
      </c>
      <c r="N12" s="10">
        <v>4.4969999999999999</v>
      </c>
      <c r="P12" s="1">
        <v>5</v>
      </c>
      <c r="Q12" s="1">
        <f t="shared" si="0"/>
        <v>40.155785813683742</v>
      </c>
      <c r="R12" s="1">
        <f t="shared" si="0"/>
        <v>44.647045438732093</v>
      </c>
      <c r="S12" s="1">
        <f t="shared" si="0"/>
        <v>112.51938571184782</v>
      </c>
      <c r="T12" s="1">
        <f t="shared" si="0"/>
        <v>272.80669512959076</v>
      </c>
      <c r="U12" s="1">
        <f t="shared" si="0"/>
        <v>1368.0988837183788</v>
      </c>
      <c r="V12" s="1">
        <f t="shared" si="0"/>
        <v>4431.7464610454344</v>
      </c>
      <c r="W12" s="1">
        <f t="shared" si="0"/>
        <v>5804.5437143863583</v>
      </c>
      <c r="X12" s="1">
        <f t="shared" si="0"/>
        <v>1550.7414462690285</v>
      </c>
      <c r="Y12" s="1">
        <f t="shared" si="0"/>
        <v>603.7893039840784</v>
      </c>
      <c r="Z12" s="30">
        <f t="shared" si="1"/>
        <v>346.45671036874654</v>
      </c>
      <c r="AA12" s="30">
        <f t="shared" si="1"/>
        <v>228.43502469341843</v>
      </c>
      <c r="AB12" s="1">
        <f t="shared" si="1"/>
        <v>155.98380416536585</v>
      </c>
    </row>
    <row r="13" spans="2:28" x14ac:dyDescent="0.25">
      <c r="B13" s="1">
        <v>6</v>
      </c>
      <c r="C13" s="5">
        <v>4.0279999999999996</v>
      </c>
      <c r="D13" s="10">
        <v>4.07</v>
      </c>
      <c r="E13" s="9">
        <v>4.3650000000000002</v>
      </c>
      <c r="F13" s="10">
        <v>4.819</v>
      </c>
      <c r="G13" s="10">
        <v>6.6559999999999997</v>
      </c>
      <c r="H13" s="10">
        <v>9.2309999999999999</v>
      </c>
      <c r="I13" s="10">
        <v>10.25</v>
      </c>
      <c r="J13" s="10">
        <v>6.702</v>
      </c>
      <c r="K13" s="10">
        <v>5.4640000000000004</v>
      </c>
      <c r="L13" s="29">
        <f>L12-0.011</f>
        <v>4.9779999999999998</v>
      </c>
      <c r="M13" s="31">
        <v>4.6970000000000001</v>
      </c>
      <c r="N13" s="10">
        <v>4.492</v>
      </c>
      <c r="P13" s="1">
        <v>6</v>
      </c>
      <c r="Q13" s="1">
        <f t="shared" si="0"/>
        <v>39.45669494654782</v>
      </c>
      <c r="R13" s="1">
        <f t="shared" si="0"/>
        <v>47.06500633899536</v>
      </c>
      <c r="S13" s="1">
        <f t="shared" si="0"/>
        <v>116.41537901020807</v>
      </c>
      <c r="T13" s="1">
        <f t="shared" si="0"/>
        <v>273.21478390342867</v>
      </c>
      <c r="U13" s="1">
        <f t="shared" si="0"/>
        <v>1441.1346985114469</v>
      </c>
      <c r="V13" s="1">
        <f t="shared" si="0"/>
        <v>4322.3355867504379</v>
      </c>
      <c r="W13" s="1">
        <f t="shared" si="0"/>
        <v>5824.9473482869917</v>
      </c>
      <c r="X13" s="1">
        <f t="shared" si="0"/>
        <v>1480.4259589524461</v>
      </c>
      <c r="Y13" s="1">
        <f t="shared" si="0"/>
        <v>590.54051402214043</v>
      </c>
      <c r="Z13" s="30">
        <f t="shared" si="1"/>
        <v>341.48693942230307</v>
      </c>
      <c r="AA13" s="30">
        <f t="shared" si="1"/>
        <v>225.42559698766237</v>
      </c>
      <c r="AB13" s="1">
        <f t="shared" si="1"/>
        <v>154.3927554701807</v>
      </c>
    </row>
    <row r="14" spans="2:28" x14ac:dyDescent="0.25">
      <c r="B14" s="1">
        <v>7</v>
      </c>
      <c r="C14" s="5">
        <v>4.024</v>
      </c>
      <c r="D14" s="10">
        <v>4.0679999999999996</v>
      </c>
      <c r="E14" s="10">
        <v>4.3730000000000002</v>
      </c>
      <c r="F14" s="10">
        <v>4.83</v>
      </c>
      <c r="G14" s="10">
        <v>6.68</v>
      </c>
      <c r="H14" s="10">
        <v>9.1370000000000005</v>
      </c>
      <c r="I14" s="10">
        <v>10.236000000000001</v>
      </c>
      <c r="J14" s="10">
        <v>6.6139999999999999</v>
      </c>
      <c r="K14" s="10">
        <v>5.4409999999999998</v>
      </c>
      <c r="L14" s="29">
        <f>L13-0.011</f>
        <v>4.9669999999999996</v>
      </c>
      <c r="M14" s="31">
        <v>4.6890000000000001</v>
      </c>
      <c r="N14" s="10">
        <v>4.4880000000000004</v>
      </c>
      <c r="P14" s="1">
        <v>7</v>
      </c>
      <c r="Q14" s="1">
        <f t="shared" si="0"/>
        <v>38.763016989801265</v>
      </c>
      <c r="R14" s="1">
        <f t="shared" si="0"/>
        <v>46.689359621109752</v>
      </c>
      <c r="S14" s="1">
        <f t="shared" si="0"/>
        <v>118.66784491343716</v>
      </c>
      <c r="T14" s="1">
        <f t="shared" si="0"/>
        <v>277.72147895372916</v>
      </c>
      <c r="U14" s="1">
        <f t="shared" si="0"/>
        <v>1461.5764162012003</v>
      </c>
      <c r="V14" s="1">
        <f t="shared" si="0"/>
        <v>4193.7224159133666</v>
      </c>
      <c r="W14" s="1">
        <f t="shared" si="0"/>
        <v>5802.9755102004001</v>
      </c>
      <c r="X14" s="1">
        <f t="shared" si="0"/>
        <v>1405.6671892992067</v>
      </c>
      <c r="Y14" s="1">
        <f t="shared" si="0"/>
        <v>577.42135197563778</v>
      </c>
      <c r="Z14" s="30">
        <f t="shared" si="1"/>
        <v>336.54881899072967</v>
      </c>
      <c r="AA14" s="30">
        <f t="shared" si="1"/>
        <v>222.43375963039162</v>
      </c>
      <c r="AB14" s="1">
        <f t="shared" si="1"/>
        <v>153.12509167580842</v>
      </c>
    </row>
    <row r="15" spans="2:28" x14ac:dyDescent="0.25">
      <c r="B15" s="1">
        <v>8</v>
      </c>
      <c r="C15" s="5">
        <v>4.0250000000000004</v>
      </c>
      <c r="D15" s="10">
        <v>4.0679999999999996</v>
      </c>
      <c r="E15" s="10">
        <v>4.4089999999999998</v>
      </c>
      <c r="F15" s="9">
        <v>4.8380000000000001</v>
      </c>
      <c r="G15" s="10">
        <v>6.7149999999999999</v>
      </c>
      <c r="H15" s="10">
        <v>9.0280000000000005</v>
      </c>
      <c r="I15" s="10">
        <v>10.215999999999999</v>
      </c>
      <c r="J15" s="10">
        <v>6.5419999999999998</v>
      </c>
      <c r="K15" s="10">
        <v>5.42</v>
      </c>
      <c r="L15" s="29">
        <v>4.9550000000000001</v>
      </c>
      <c r="M15" s="31">
        <v>4.681</v>
      </c>
      <c r="N15" s="10">
        <v>4.4870000000000001</v>
      </c>
      <c r="P15" s="1">
        <v>8</v>
      </c>
      <c r="Q15" s="1">
        <f t="shared" si="0"/>
        <v>38.935928394493374</v>
      </c>
      <c r="R15" s="1">
        <f t="shared" si="0"/>
        <v>46.689359621109752</v>
      </c>
      <c r="S15" s="1">
        <f t="shared" si="0"/>
        <v>129.03831027932898</v>
      </c>
      <c r="T15" s="1">
        <f t="shared" si="0"/>
        <v>281.01945445691035</v>
      </c>
      <c r="U15" s="1">
        <f t="shared" si="0"/>
        <v>1491.6142984760302</v>
      </c>
      <c r="V15" s="1">
        <f t="shared" si="0"/>
        <v>4046.732436890728</v>
      </c>
      <c r="W15" s="1">
        <f t="shared" si="0"/>
        <v>5771.6506242130654</v>
      </c>
      <c r="X15" s="1">
        <f t="shared" si="0"/>
        <v>1345.7732929619551</v>
      </c>
      <c r="Y15" s="1">
        <f t="shared" si="0"/>
        <v>565.55649131582595</v>
      </c>
      <c r="Z15" s="30">
        <f t="shared" si="1"/>
        <v>331.19794044446752</v>
      </c>
      <c r="AA15" s="30">
        <f t="shared" si="1"/>
        <v>219.45954065741248</v>
      </c>
      <c r="AB15" s="1">
        <f t="shared" si="1"/>
        <v>152.80889508781522</v>
      </c>
    </row>
    <row r="16" spans="2:28" x14ac:dyDescent="0.25">
      <c r="B16" s="1">
        <v>9</v>
      </c>
      <c r="C16" s="5">
        <v>4.0229999999999997</v>
      </c>
      <c r="D16" s="10">
        <v>4.0720000000000001</v>
      </c>
      <c r="E16" s="10">
        <v>4.4470000000000001</v>
      </c>
      <c r="F16" s="10">
        <v>4.8570000000000002</v>
      </c>
      <c r="G16" s="10">
        <v>6.7969999999999997</v>
      </c>
      <c r="H16" s="10">
        <v>8.9019999999999992</v>
      </c>
      <c r="I16" s="10">
        <v>10.186999999999999</v>
      </c>
      <c r="J16" s="10">
        <v>6.4790000000000001</v>
      </c>
      <c r="K16" s="10">
        <v>5.4020000000000001</v>
      </c>
      <c r="L16" s="29">
        <v>4.95</v>
      </c>
      <c r="M16" s="31">
        <v>4.6730299389154197</v>
      </c>
      <c r="N16" s="10">
        <v>4.4790000000000001</v>
      </c>
      <c r="P16" s="1">
        <v>9</v>
      </c>
      <c r="Q16" s="1">
        <f t="shared" si="0"/>
        <v>38.590444607333772</v>
      </c>
      <c r="R16" s="1">
        <f t="shared" si="0"/>
        <v>47.441978138222069</v>
      </c>
      <c r="S16" s="1">
        <f t="shared" si="0"/>
        <v>140.39786544022351</v>
      </c>
      <c r="T16" s="1">
        <f t="shared" si="0"/>
        <v>288.92077295090706</v>
      </c>
      <c r="U16" s="1">
        <f t="shared" si="0"/>
        <v>1563.0402007684106</v>
      </c>
      <c r="V16" s="1">
        <f t="shared" si="0"/>
        <v>3879.7022588012819</v>
      </c>
      <c r="W16" s="1">
        <f t="shared" si="0"/>
        <v>5726.3622299249946</v>
      </c>
      <c r="X16" s="1">
        <f t="shared" si="0"/>
        <v>1294.3105365306926</v>
      </c>
      <c r="Y16" s="1">
        <f t="shared" si="0"/>
        <v>555.47305495383728</v>
      </c>
      <c r="Z16" s="30">
        <f t="shared" si="1"/>
        <v>328.97956108121127</v>
      </c>
      <c r="AA16" s="30">
        <f t="shared" si="1"/>
        <v>216.51400000000007</v>
      </c>
      <c r="AB16" s="1">
        <f t="shared" si="1"/>
        <v>150.28969225598934</v>
      </c>
    </row>
    <row r="17" spans="2:28" x14ac:dyDescent="0.25">
      <c r="B17" s="1">
        <v>10</v>
      </c>
      <c r="C17" s="5">
        <v>4.032</v>
      </c>
      <c r="D17" s="10">
        <v>4.0780000000000003</v>
      </c>
      <c r="E17" s="10">
        <v>4.4560000000000004</v>
      </c>
      <c r="F17" s="10">
        <v>4.8760000000000003</v>
      </c>
      <c r="G17" s="10">
        <v>6.931</v>
      </c>
      <c r="H17" s="10">
        <v>8.74</v>
      </c>
      <c r="I17" s="10">
        <v>10.103999999999999</v>
      </c>
      <c r="J17" s="10">
        <v>6.4139999999999997</v>
      </c>
      <c r="K17" s="10">
        <v>5.3780000000000001</v>
      </c>
      <c r="L17" s="29">
        <v>4.944</v>
      </c>
      <c r="M17" s="10">
        <v>4.6539999999999999</v>
      </c>
      <c r="N17" s="10">
        <v>4.4749999999999996</v>
      </c>
      <c r="P17" s="1">
        <v>10</v>
      </c>
      <c r="Q17" s="1">
        <f t="shared" si="0"/>
        <v>40.155785813683742</v>
      </c>
      <c r="R17" s="1">
        <f t="shared" si="0"/>
        <v>48.580831463629586</v>
      </c>
      <c r="S17" s="1">
        <f t="shared" si="0"/>
        <v>143.14994819670483</v>
      </c>
      <c r="T17" s="1">
        <f t="shared" si="0"/>
        <v>296.91842046718716</v>
      </c>
      <c r="U17" s="1">
        <f t="shared" si="0"/>
        <v>1682.9147922852248</v>
      </c>
      <c r="V17" s="1">
        <f t="shared" si="0"/>
        <v>3669.5188908558312</v>
      </c>
      <c r="W17" s="1">
        <f t="shared" si="0"/>
        <v>5597.6130064268591</v>
      </c>
      <c r="X17" s="1">
        <f t="shared" si="0"/>
        <v>1242.1424543247354</v>
      </c>
      <c r="Y17" s="1">
        <f t="shared" si="0"/>
        <v>542.15290920950838</v>
      </c>
      <c r="Z17" s="30">
        <f t="shared" si="1"/>
        <v>326.32617673569814</v>
      </c>
      <c r="AA17" s="1">
        <f t="shared" si="1"/>
        <v>209.55200114456468</v>
      </c>
      <c r="AB17" s="1">
        <f t="shared" si="1"/>
        <v>149.03701151883433</v>
      </c>
    </row>
    <row r="18" spans="2:28" x14ac:dyDescent="0.25">
      <c r="B18" s="1">
        <v>11</v>
      </c>
      <c r="C18" s="5">
        <v>4.032</v>
      </c>
      <c r="D18" s="10">
        <v>4.0830000000000002</v>
      </c>
      <c r="E18" s="10">
        <v>4.4630000000000001</v>
      </c>
      <c r="F18" s="10">
        <v>4.9139999999999997</v>
      </c>
      <c r="G18" s="10">
        <v>7.1609999999999996</v>
      </c>
      <c r="H18" s="10">
        <v>8.6039999999999992</v>
      </c>
      <c r="I18" s="10">
        <v>9.9860000000000007</v>
      </c>
      <c r="J18" s="10">
        <v>6.36</v>
      </c>
      <c r="K18" s="10">
        <v>5.3579999999999997</v>
      </c>
      <c r="L18" s="29">
        <v>4.9370000000000003</v>
      </c>
      <c r="M18" s="9">
        <v>4.6470000000000002</v>
      </c>
      <c r="N18" s="10">
        <v>4.4690000000000003</v>
      </c>
      <c r="P18" s="1">
        <v>11</v>
      </c>
      <c r="Q18" s="1">
        <f t="shared" si="0"/>
        <v>40.155785813683742</v>
      </c>
      <c r="R18" s="1">
        <f t="shared" si="0"/>
        <v>49.538952921530964</v>
      </c>
      <c r="S18" s="1">
        <f t="shared" si="0"/>
        <v>145.30670738411825</v>
      </c>
      <c r="T18" s="1">
        <f t="shared" si="0"/>
        <v>313.20145620705426</v>
      </c>
      <c r="U18" s="1">
        <f t="shared" si="0"/>
        <v>1897.7055046187902</v>
      </c>
      <c r="V18" s="1">
        <f t="shared" si="0"/>
        <v>3497.0612406621444</v>
      </c>
      <c r="W18" s="1">
        <f t="shared" si="0"/>
        <v>5416.7954314525723</v>
      </c>
      <c r="X18" s="1">
        <f t="shared" si="0"/>
        <v>1199.5231684302773</v>
      </c>
      <c r="Y18" s="1">
        <f t="shared" si="0"/>
        <v>531.16169348597111</v>
      </c>
      <c r="Z18" s="30">
        <f t="shared" si="1"/>
        <v>323.24252853477299</v>
      </c>
      <c r="AA18" s="1">
        <f t="shared" si="1"/>
        <v>207.01632765538065</v>
      </c>
      <c r="AB18" s="1">
        <f t="shared" si="1"/>
        <v>147.16665420917317</v>
      </c>
    </row>
    <row r="19" spans="2:28" x14ac:dyDescent="0.25">
      <c r="B19" s="1">
        <v>12</v>
      </c>
      <c r="C19" s="5">
        <v>4.0330000000000004</v>
      </c>
      <c r="D19" s="10">
        <v>4.0789999999999997</v>
      </c>
      <c r="E19" s="10">
        <v>4.4850000000000003</v>
      </c>
      <c r="F19" s="10">
        <v>4.9450000000000003</v>
      </c>
      <c r="G19" s="10">
        <v>7.4349999999999996</v>
      </c>
      <c r="H19" s="10">
        <v>8.4770000000000003</v>
      </c>
      <c r="I19" s="10">
        <v>9.8480000000000008</v>
      </c>
      <c r="J19" s="10">
        <v>6.3070000000000004</v>
      </c>
      <c r="K19" s="10">
        <v>5.34</v>
      </c>
      <c r="L19" s="29">
        <v>4.931</v>
      </c>
      <c r="M19" s="9">
        <v>4.6390000000000002</v>
      </c>
      <c r="N19" s="10">
        <v>4.4660000000000002</v>
      </c>
      <c r="P19" s="1">
        <v>12</v>
      </c>
      <c r="Q19" s="1">
        <f t="shared" si="0"/>
        <v>40.331402968237498</v>
      </c>
      <c r="R19" s="1">
        <f t="shared" si="0"/>
        <v>48.77179632927939</v>
      </c>
      <c r="S19" s="1">
        <f t="shared" si="0"/>
        <v>152.17736564065683</v>
      </c>
      <c r="T19" s="1">
        <f t="shared" si="0"/>
        <v>326.76775022238888</v>
      </c>
      <c r="U19" s="1">
        <f t="shared" ref="U19:U36" si="2">198.426*(G19-3.623)^1.787</f>
        <v>2168.2971332747543</v>
      </c>
      <c r="V19" s="1">
        <f t="shared" si="0"/>
        <v>3339.3263947244968</v>
      </c>
      <c r="W19" s="1">
        <f t="shared" si="0"/>
        <v>5208.6551672144187</v>
      </c>
      <c r="X19" s="1">
        <f t="shared" si="0"/>
        <v>1158.3316570751169</v>
      </c>
      <c r="Y19" s="1">
        <f t="shared" si="0"/>
        <v>521.35446240957208</v>
      </c>
      <c r="Z19" s="30">
        <f t="shared" si="1"/>
        <v>320.60966932956387</v>
      </c>
      <c r="AA19" s="1">
        <f t="shared" si="1"/>
        <v>204.13507551234287</v>
      </c>
      <c r="AB19" s="1">
        <f t="shared" si="1"/>
        <v>146.2353785021009</v>
      </c>
    </row>
    <row r="20" spans="2:28" x14ac:dyDescent="0.25">
      <c r="B20" s="1">
        <v>13</v>
      </c>
      <c r="C20" s="5">
        <v>4.0439999999999996</v>
      </c>
      <c r="D20" s="10">
        <v>4.077</v>
      </c>
      <c r="E20" s="10">
        <v>4.5019999999999998</v>
      </c>
      <c r="F20" s="10">
        <v>4.9960000000000004</v>
      </c>
      <c r="G20" s="9">
        <v>7.6890000000000001</v>
      </c>
      <c r="H20" s="10">
        <v>8.3840000000000003</v>
      </c>
      <c r="I20" s="10">
        <v>9.6760000000000002</v>
      </c>
      <c r="J20" s="10">
        <v>6.2530000000000001</v>
      </c>
      <c r="K20" s="10">
        <v>5.32</v>
      </c>
      <c r="L20" s="29">
        <v>4.9249999999999998</v>
      </c>
      <c r="M20" s="9">
        <v>4.6310000000000002</v>
      </c>
      <c r="N20" s="10">
        <v>4.4589999999999996</v>
      </c>
      <c r="P20" s="1">
        <v>13</v>
      </c>
      <c r="Q20" s="1">
        <f t="shared" si="0"/>
        <v>42.285423345455243</v>
      </c>
      <c r="R20" s="1">
        <f t="shared" si="0"/>
        <v>48.390196618906877</v>
      </c>
      <c r="S20" s="1">
        <f t="shared" si="0"/>
        <v>157.58203239431245</v>
      </c>
      <c r="T20" s="1">
        <f t="shared" si="0"/>
        <v>349.63574613283748</v>
      </c>
      <c r="U20" s="1">
        <f t="shared" si="2"/>
        <v>2433.2160671506049</v>
      </c>
      <c r="V20" s="1">
        <f t="shared" si="0"/>
        <v>3225.857865107208</v>
      </c>
      <c r="W20" s="1">
        <f t="shared" si="0"/>
        <v>4954.2757117414867</v>
      </c>
      <c r="X20" s="1">
        <f t="shared" si="0"/>
        <v>1117.0162733827176</v>
      </c>
      <c r="Y20" s="1">
        <f t="shared" si="0"/>
        <v>510.55205654177257</v>
      </c>
      <c r="Z20" s="30">
        <f t="shared" si="1"/>
        <v>317.98629787168926</v>
      </c>
      <c r="AA20" s="1">
        <f t="shared" si="1"/>
        <v>201.27162296167023</v>
      </c>
      <c r="AB20" s="1">
        <f t="shared" si="1"/>
        <v>144.07253423083085</v>
      </c>
    </row>
    <row r="21" spans="2:28" x14ac:dyDescent="0.25">
      <c r="B21" s="1">
        <v>14</v>
      </c>
      <c r="C21" s="5">
        <v>4.048</v>
      </c>
      <c r="D21" s="10">
        <v>4.0839999999999996</v>
      </c>
      <c r="E21" s="10">
        <v>4.5289999999999999</v>
      </c>
      <c r="F21" s="10">
        <v>5.0590000000000002</v>
      </c>
      <c r="G21" s="10">
        <v>7.88</v>
      </c>
      <c r="H21" s="10">
        <v>8.2710000000000008</v>
      </c>
      <c r="I21" s="10">
        <v>9.5180000000000007</v>
      </c>
      <c r="J21" s="10">
        <v>6.2080000000000002</v>
      </c>
      <c r="K21" s="10">
        <v>5.3019999999999996</v>
      </c>
      <c r="L21" s="29">
        <v>4.9189999999999996</v>
      </c>
      <c r="M21" s="9">
        <v>4.6219999999999999</v>
      </c>
      <c r="N21" s="10">
        <v>4.4550000000000001</v>
      </c>
      <c r="P21" s="1">
        <v>14</v>
      </c>
      <c r="Q21" s="1">
        <f t="shared" si="0"/>
        <v>43.006053978388415</v>
      </c>
      <c r="R21" s="1">
        <f t="shared" si="0"/>
        <v>49.731565585667106</v>
      </c>
      <c r="S21" s="1">
        <f t="shared" si="0"/>
        <v>166.33615835036369</v>
      </c>
      <c r="T21" s="1">
        <f t="shared" si="0"/>
        <v>378.82057748573391</v>
      </c>
      <c r="U21" s="1">
        <f t="shared" si="2"/>
        <v>2641.2335215973003</v>
      </c>
      <c r="V21" s="1">
        <f t="shared" si="0"/>
        <v>3090.3177261017995</v>
      </c>
      <c r="W21" s="1">
        <f t="shared" si="0"/>
        <v>4725.5585136562513</v>
      </c>
      <c r="X21" s="1">
        <f t="shared" si="0"/>
        <v>1083.0925683730893</v>
      </c>
      <c r="Y21" s="1">
        <f t="shared" si="0"/>
        <v>500.91515543196704</v>
      </c>
      <c r="Z21" s="30">
        <f t="shared" si="1"/>
        <v>315.37242345720546</v>
      </c>
      <c r="AA21" s="1">
        <f t="shared" si="1"/>
        <v>198.07155227799711</v>
      </c>
      <c r="AB21" s="1">
        <f t="shared" si="1"/>
        <v>142.8429996903449</v>
      </c>
    </row>
    <row r="22" spans="2:28" x14ac:dyDescent="0.25">
      <c r="B22" s="1">
        <v>15</v>
      </c>
      <c r="C22" s="5">
        <v>4.0549999999999997</v>
      </c>
      <c r="D22" s="10">
        <v>4.0999999999999996</v>
      </c>
      <c r="E22" s="10">
        <v>4.5430000000000001</v>
      </c>
      <c r="F22" s="9">
        <v>5.1120000000000001</v>
      </c>
      <c r="G22" s="10">
        <v>8.1349999999999998</v>
      </c>
      <c r="H22" s="10">
        <v>8.18</v>
      </c>
      <c r="I22" s="10">
        <v>9.3699999999999992</v>
      </c>
      <c r="J22" s="10">
        <v>6.1589999999999998</v>
      </c>
      <c r="K22" s="9">
        <v>5.2779999999999996</v>
      </c>
      <c r="L22" s="29">
        <v>4.9109999999999996</v>
      </c>
      <c r="M22" s="9">
        <v>4.617</v>
      </c>
      <c r="N22" s="10">
        <v>4.4480000000000004</v>
      </c>
      <c r="P22" s="1">
        <v>15</v>
      </c>
      <c r="Q22" s="1">
        <f t="shared" si="0"/>
        <v>44.280042927819757</v>
      </c>
      <c r="R22" s="1">
        <f t="shared" si="0"/>
        <v>52.858023662442548</v>
      </c>
      <c r="S22" s="1">
        <f t="shared" si="0"/>
        <v>170.9572114030278</v>
      </c>
      <c r="T22" s="1">
        <f t="shared" si="0"/>
        <v>404.16751354767513</v>
      </c>
      <c r="U22" s="1">
        <f t="shared" si="2"/>
        <v>2930.5972871907684</v>
      </c>
      <c r="V22" s="1">
        <f t="shared" si="0"/>
        <v>2983.032615060893</v>
      </c>
      <c r="W22" s="1">
        <f t="shared" si="0"/>
        <v>4515.6471281029753</v>
      </c>
      <c r="X22" s="1">
        <f t="shared" si="0"/>
        <v>1046.6784582464288</v>
      </c>
      <c r="Y22" s="1">
        <f t="shared" si="0"/>
        <v>488.19193474406507</v>
      </c>
      <c r="Z22" s="30">
        <f t="shared" si="1"/>
        <v>311.90204691473184</v>
      </c>
      <c r="AA22" s="1">
        <f t="shared" si="1"/>
        <v>196.30350165489062</v>
      </c>
      <c r="AB22" s="1">
        <f t="shared" si="1"/>
        <v>140.70249018275587</v>
      </c>
    </row>
    <row r="23" spans="2:28" x14ac:dyDescent="0.25">
      <c r="B23" s="1">
        <v>16</v>
      </c>
      <c r="C23" s="5">
        <v>4.0490000000000004</v>
      </c>
      <c r="D23" s="10">
        <v>4.1120000000000001</v>
      </c>
      <c r="E23" s="10">
        <v>4.5629999999999997</v>
      </c>
      <c r="F23" s="10">
        <v>5.1859999999999999</v>
      </c>
      <c r="G23" s="10">
        <v>8.49</v>
      </c>
      <c r="H23" s="10">
        <v>8.0939999999999994</v>
      </c>
      <c r="I23" s="10">
        <v>9.2520000000000007</v>
      </c>
      <c r="J23" s="10">
        <v>6.125</v>
      </c>
      <c r="K23" s="9">
        <v>5.2629999999999999</v>
      </c>
      <c r="L23" s="29">
        <v>4.9029999999999996</v>
      </c>
      <c r="M23" s="10">
        <v>4.6109999999999998</v>
      </c>
      <c r="N23" s="10">
        <v>4.4429999999999996</v>
      </c>
      <c r="P23" s="1">
        <v>16</v>
      </c>
      <c r="Q23" s="1">
        <f t="shared" si="0"/>
        <v>43.187049183854739</v>
      </c>
      <c r="R23" s="1">
        <f t="shared" si="0"/>
        <v>55.257789661172986</v>
      </c>
      <c r="S23" s="1">
        <f t="shared" si="0"/>
        <v>177.65525243144901</v>
      </c>
      <c r="T23" s="1">
        <f t="shared" si="0"/>
        <v>440.76111334102444</v>
      </c>
      <c r="U23" s="1">
        <f t="shared" si="2"/>
        <v>3355.3250826287626</v>
      </c>
      <c r="V23" s="1">
        <f t="shared" si="0"/>
        <v>2883.1797745002245</v>
      </c>
      <c r="W23" s="1">
        <f t="shared" si="0"/>
        <v>4351.3019268622893</v>
      </c>
      <c r="X23" s="1">
        <f t="shared" si="0"/>
        <v>1021.7343454092879</v>
      </c>
      <c r="Y23" s="1">
        <f t="shared" si="0"/>
        <v>480.31321330301103</v>
      </c>
      <c r="Z23" s="30">
        <f t="shared" si="1"/>
        <v>308.4485929344346</v>
      </c>
      <c r="AA23" s="1">
        <f t="shared" si="1"/>
        <v>194.19106236990902</v>
      </c>
      <c r="AB23" s="1">
        <f t="shared" si="1"/>
        <v>139.18227529643528</v>
      </c>
    </row>
    <row r="24" spans="2:28" x14ac:dyDescent="0.25">
      <c r="B24" s="1">
        <v>17</v>
      </c>
      <c r="C24" s="5">
        <v>4.0449999999999999</v>
      </c>
      <c r="D24" s="10">
        <v>4.1070000000000002</v>
      </c>
      <c r="E24" s="10">
        <v>4.5819999999999999</v>
      </c>
      <c r="F24" s="10">
        <v>5.2210000000000001</v>
      </c>
      <c r="G24" s="10">
        <v>8.8109999999999999</v>
      </c>
      <c r="H24" s="10">
        <v>8.0549999999999997</v>
      </c>
      <c r="I24" s="10">
        <v>9.1590000000000007</v>
      </c>
      <c r="J24" s="10">
        <v>6.0819999999999999</v>
      </c>
      <c r="K24" s="10">
        <v>5.2430000000000003</v>
      </c>
      <c r="L24" s="29">
        <v>4.8940000000000001</v>
      </c>
      <c r="M24" s="10">
        <v>4.5999999999999996</v>
      </c>
      <c r="N24" s="10">
        <v>4.4349999999999996</v>
      </c>
      <c r="P24" s="1">
        <v>17</v>
      </c>
      <c r="Q24" s="1">
        <f t="shared" si="0"/>
        <v>42.465078138265632</v>
      </c>
      <c r="R24" s="1">
        <f t="shared" si="0"/>
        <v>54.252185613382423</v>
      </c>
      <c r="S24" s="1">
        <f t="shared" si="0"/>
        <v>184.12316375715753</v>
      </c>
      <c r="T24" s="1">
        <f t="shared" si="0"/>
        <v>458.55377656489111</v>
      </c>
      <c r="U24" s="1">
        <f t="shared" si="2"/>
        <v>3761.0016109686321</v>
      </c>
      <c r="V24" s="1">
        <f t="shared" si="0"/>
        <v>2838.3917379822688</v>
      </c>
      <c r="W24" s="1">
        <f t="shared" si="0"/>
        <v>4223.6699638756354</v>
      </c>
      <c r="X24" s="1">
        <f t="shared" si="0"/>
        <v>990.56748547239283</v>
      </c>
      <c r="Y24" s="1">
        <f t="shared" si="0"/>
        <v>469.89617373385738</v>
      </c>
      <c r="Z24" s="30">
        <f t="shared" si="1"/>
        <v>304.5837129450303</v>
      </c>
      <c r="AA24" s="1">
        <f t="shared" si="1"/>
        <v>190.34442577374131</v>
      </c>
      <c r="AB24" s="1">
        <f t="shared" si="1"/>
        <v>136.76507309804748</v>
      </c>
    </row>
    <row r="25" spans="2:28" x14ac:dyDescent="0.25">
      <c r="B25" s="1">
        <v>18</v>
      </c>
      <c r="C25" s="5">
        <v>4.048</v>
      </c>
      <c r="D25" s="10">
        <v>4.12</v>
      </c>
      <c r="E25" s="10">
        <v>4.5940000000000003</v>
      </c>
      <c r="F25" s="10">
        <v>5.2619999999999996</v>
      </c>
      <c r="G25" s="10">
        <v>8.9920000000000009</v>
      </c>
      <c r="H25" s="10">
        <v>8.1359999999999992</v>
      </c>
      <c r="I25" s="10">
        <v>9.0660000000000007</v>
      </c>
      <c r="J25" s="10">
        <v>6.0430000000000001</v>
      </c>
      <c r="K25" s="10">
        <v>5.226</v>
      </c>
      <c r="L25" s="29">
        <v>4.8849999999999998</v>
      </c>
      <c r="M25" s="10">
        <v>4.5940000000000003</v>
      </c>
      <c r="N25" s="10">
        <v>4.4290000000000003</v>
      </c>
      <c r="P25" s="1">
        <v>18</v>
      </c>
      <c r="Q25" s="1">
        <f t="shared" si="0"/>
        <v>43.006053978388415</v>
      </c>
      <c r="R25" s="1">
        <f t="shared" si="0"/>
        <v>56.883648528213357</v>
      </c>
      <c r="S25" s="1">
        <f t="shared" si="0"/>
        <v>188.26055797112835</v>
      </c>
      <c r="T25" s="1">
        <f t="shared" si="0"/>
        <v>479.78997320614468</v>
      </c>
      <c r="U25" s="1">
        <f t="shared" si="2"/>
        <v>3998.6932591481736</v>
      </c>
      <c r="V25" s="1">
        <f t="shared" si="0"/>
        <v>2931.7580660187059</v>
      </c>
      <c r="W25" s="1">
        <f t="shared" si="0"/>
        <v>4097.7143544963201</v>
      </c>
      <c r="X25" s="1">
        <f t="shared" si="0"/>
        <v>962.66822386640865</v>
      </c>
      <c r="Y25" s="1">
        <f t="shared" si="0"/>
        <v>461.12087382913677</v>
      </c>
      <c r="Z25" s="30">
        <f t="shared" si="1"/>
        <v>300.7403112775782</v>
      </c>
      <c r="AA25" s="1">
        <f t="shared" si="1"/>
        <v>188.26055797112835</v>
      </c>
      <c r="AB25" s="1">
        <f t="shared" si="1"/>
        <v>134.96442146086034</v>
      </c>
    </row>
    <row r="26" spans="2:28" x14ac:dyDescent="0.25">
      <c r="B26" s="1">
        <v>19</v>
      </c>
      <c r="C26" s="5">
        <v>4.048</v>
      </c>
      <c r="D26" s="10">
        <v>4.133</v>
      </c>
      <c r="E26" s="10">
        <v>4.6040000000000001</v>
      </c>
      <c r="F26" s="10">
        <v>5.3250000000000002</v>
      </c>
      <c r="G26" s="10">
        <v>9.1669999999999998</v>
      </c>
      <c r="H26" s="10">
        <v>8.2070000000000007</v>
      </c>
      <c r="I26" s="10">
        <v>8.93</v>
      </c>
      <c r="J26" s="10">
        <v>6.0019999999999998</v>
      </c>
      <c r="K26" s="10">
        <v>5.2080000000000002</v>
      </c>
      <c r="L26" s="29">
        <v>4.8760000000000003</v>
      </c>
      <c r="M26" s="10">
        <v>4.5890000000000004</v>
      </c>
      <c r="N26" s="10">
        <v>4.4240000000000004</v>
      </c>
      <c r="P26" s="1">
        <v>19</v>
      </c>
      <c r="Q26" s="1">
        <f t="shared" si="0"/>
        <v>43.006053978388415</v>
      </c>
      <c r="R26" s="1">
        <f t="shared" si="0"/>
        <v>59.569846686605906</v>
      </c>
      <c r="S26" s="1">
        <f t="shared" si="0"/>
        <v>191.73928072807524</v>
      </c>
      <c r="T26" s="1">
        <f t="shared" si="0"/>
        <v>513.24331785333436</v>
      </c>
      <c r="U26" s="1">
        <f t="shared" si="2"/>
        <v>4234.5832438187208</v>
      </c>
      <c r="V26" s="1">
        <f t="shared" si="0"/>
        <v>3014.6902328062151</v>
      </c>
      <c r="W26" s="1">
        <f t="shared" si="0"/>
        <v>3916.5520021316447</v>
      </c>
      <c r="X26" s="1">
        <f t="shared" si="0"/>
        <v>933.71738615278923</v>
      </c>
      <c r="Y26" s="1">
        <f t="shared" si="0"/>
        <v>451.90888178948916</v>
      </c>
      <c r="Z26" s="30">
        <f t="shared" si="1"/>
        <v>296.91842046718716</v>
      </c>
      <c r="AA26" s="1">
        <f t="shared" si="1"/>
        <v>186.53172331983231</v>
      </c>
      <c r="AB26" s="1">
        <f t="shared" si="1"/>
        <v>133.47191264358213</v>
      </c>
    </row>
    <row r="27" spans="2:28" x14ac:dyDescent="0.25">
      <c r="B27" s="1">
        <v>20</v>
      </c>
      <c r="C27" s="5">
        <v>4.0449999999999999</v>
      </c>
      <c r="D27" s="10">
        <v>4.1340000000000003</v>
      </c>
      <c r="E27" s="10">
        <v>4.6180000000000003</v>
      </c>
      <c r="F27" s="9">
        <v>5.3780000000000001</v>
      </c>
      <c r="G27" s="10">
        <v>9.2940000000000005</v>
      </c>
      <c r="H27" s="10">
        <v>8.3079999999999998</v>
      </c>
      <c r="I27" s="10">
        <v>8.7560000000000002</v>
      </c>
      <c r="J27" s="10">
        <v>5.9870000000000001</v>
      </c>
      <c r="K27" s="10">
        <v>5.1980000000000004</v>
      </c>
      <c r="L27" s="29">
        <v>4.8659999999999997</v>
      </c>
      <c r="M27" s="10">
        <v>4.5810000000000004</v>
      </c>
      <c r="N27" s="10">
        <v>4.4169999999999998</v>
      </c>
      <c r="P27" s="1">
        <v>20</v>
      </c>
      <c r="Q27" s="1">
        <f t="shared" si="0"/>
        <v>42.465078138265632</v>
      </c>
      <c r="R27" s="1">
        <f t="shared" si="0"/>
        <v>59.778735782874875</v>
      </c>
      <c r="S27" s="1">
        <f t="shared" si="0"/>
        <v>196.65655318240127</v>
      </c>
      <c r="T27" s="1">
        <f t="shared" si="0"/>
        <v>542.15290920950838</v>
      </c>
      <c r="U27" s="1">
        <f t="shared" si="2"/>
        <v>4409.4900543113545</v>
      </c>
      <c r="V27" s="1">
        <f t="shared" si="0"/>
        <v>3134.4159190318396</v>
      </c>
      <c r="W27" s="1">
        <f t="shared" si="0"/>
        <v>3690.0480971438847</v>
      </c>
      <c r="X27" s="1">
        <f t="shared" si="0"/>
        <v>923.22298961212755</v>
      </c>
      <c r="Y27" s="1">
        <f t="shared" si="0"/>
        <v>446.82651345933914</v>
      </c>
      <c r="Z27" s="30">
        <f t="shared" si="1"/>
        <v>292.69714383050518</v>
      </c>
      <c r="AA27" s="1">
        <f t="shared" si="1"/>
        <v>183.78020955928736</v>
      </c>
      <c r="AB27" s="1">
        <f t="shared" si="1"/>
        <v>131.39469027386198</v>
      </c>
    </row>
    <row r="28" spans="2:28" x14ac:dyDescent="0.25">
      <c r="B28" s="1">
        <v>21</v>
      </c>
      <c r="C28" s="5">
        <v>4.0449999999999999</v>
      </c>
      <c r="D28" s="10">
        <v>4.1379999999999999</v>
      </c>
      <c r="E28" s="10">
        <v>4.6189999999999998</v>
      </c>
      <c r="F28" s="10">
        <v>5.4429999999999996</v>
      </c>
      <c r="G28" s="10">
        <v>9.4450000000000003</v>
      </c>
      <c r="H28" s="10">
        <v>8.43</v>
      </c>
      <c r="I28" s="10">
        <v>8.5640000000000001</v>
      </c>
      <c r="J28" s="10">
        <v>5.9740000000000002</v>
      </c>
      <c r="K28" s="10">
        <v>5.18</v>
      </c>
      <c r="L28" s="29">
        <v>4.8550000000000004</v>
      </c>
      <c r="M28" s="10">
        <v>4.5750000000000002</v>
      </c>
      <c r="N28" s="10">
        <v>4.4089999999999998</v>
      </c>
      <c r="P28" s="1">
        <v>21</v>
      </c>
      <c r="Q28" s="1">
        <f t="shared" si="0"/>
        <v>42.465078138265632</v>
      </c>
      <c r="R28" s="1">
        <f t="shared" si="0"/>
        <v>60.617510446350074</v>
      </c>
      <c r="S28" s="1">
        <f t="shared" si="0"/>
        <v>197.00988406819653</v>
      </c>
      <c r="T28" s="1">
        <f t="shared" si="0"/>
        <v>578.55699400301955</v>
      </c>
      <c r="U28" s="1">
        <f t="shared" si="2"/>
        <v>4621.4962082452903</v>
      </c>
      <c r="V28" s="1">
        <f t="shared" si="0"/>
        <v>3281.7661710391671</v>
      </c>
      <c r="W28" s="1">
        <f t="shared" si="0"/>
        <v>3447.0352260077852</v>
      </c>
      <c r="X28" s="1">
        <f t="shared" si="0"/>
        <v>914.17012804694491</v>
      </c>
      <c r="Y28" s="1">
        <f t="shared" si="0"/>
        <v>437.74211138362455</v>
      </c>
      <c r="Z28" s="30">
        <f t="shared" si="1"/>
        <v>288.08451346108757</v>
      </c>
      <c r="AA28" s="1">
        <f t="shared" si="1"/>
        <v>181.72840063578209</v>
      </c>
      <c r="AB28" s="1">
        <f t="shared" si="1"/>
        <v>129.03831027932898</v>
      </c>
    </row>
    <row r="29" spans="2:28" x14ac:dyDescent="0.25">
      <c r="B29" s="1">
        <v>22</v>
      </c>
      <c r="C29" s="5">
        <v>4.048</v>
      </c>
      <c r="D29" s="10">
        <v>4.1500000000000004</v>
      </c>
      <c r="E29" s="10">
        <v>4.6479999999999997</v>
      </c>
      <c r="F29" s="10">
        <v>5.5270000000000001</v>
      </c>
      <c r="G29" s="10">
        <v>9.5779999999999994</v>
      </c>
      <c r="H29" s="10">
        <v>8.57</v>
      </c>
      <c r="I29" s="10">
        <v>8.3680000000000003</v>
      </c>
      <c r="J29" s="10">
        <v>5.93</v>
      </c>
      <c r="K29" s="10">
        <v>5.1639999999999997</v>
      </c>
      <c r="L29" s="29">
        <v>4.843</v>
      </c>
      <c r="M29" s="10">
        <v>4.569</v>
      </c>
      <c r="N29" s="10">
        <v>4.4029999999999996</v>
      </c>
      <c r="P29" s="1">
        <v>22</v>
      </c>
      <c r="Q29" s="1">
        <f t="shared" si="0"/>
        <v>43.006053978388415</v>
      </c>
      <c r="R29" s="1">
        <f t="shared" si="0"/>
        <v>63.164657714347534</v>
      </c>
      <c r="S29" s="1">
        <f t="shared" si="0"/>
        <v>207.37773422425406</v>
      </c>
      <c r="T29" s="1">
        <f t="shared" si="0"/>
        <v>627.13841882440431</v>
      </c>
      <c r="U29" s="1">
        <f t="shared" si="2"/>
        <v>4811.8523555429747</v>
      </c>
      <c r="V29" s="1">
        <f t="shared" si="0"/>
        <v>3454.5188873430311</v>
      </c>
      <c r="W29" s="1">
        <f t="shared" si="0"/>
        <v>3206.5107262653396</v>
      </c>
      <c r="X29" s="1">
        <f t="shared" si="0"/>
        <v>883.82163636985581</v>
      </c>
      <c r="Y29" s="1">
        <f t="shared" si="0"/>
        <v>429.73615435051141</v>
      </c>
      <c r="Z29" s="30">
        <f t="shared" si="1"/>
        <v>283.0893916240401</v>
      </c>
      <c r="AA29" s="1">
        <f t="shared" si="1"/>
        <v>179.68674369955215</v>
      </c>
      <c r="AB29" s="1">
        <f t="shared" si="1"/>
        <v>127.2833604343859</v>
      </c>
    </row>
    <row r="30" spans="2:28" x14ac:dyDescent="0.25">
      <c r="B30" s="1">
        <v>23</v>
      </c>
      <c r="C30" s="5">
        <v>4.0519999999999996</v>
      </c>
      <c r="D30" s="10">
        <v>4.16</v>
      </c>
      <c r="E30" s="10">
        <v>4.6429999999999998</v>
      </c>
      <c r="F30" s="10">
        <v>5.6529999999999996</v>
      </c>
      <c r="G30" s="10">
        <v>9.6690000000000005</v>
      </c>
      <c r="H30" s="10">
        <v>8.7720000000000002</v>
      </c>
      <c r="I30" s="10">
        <v>8.1880000000000006</v>
      </c>
      <c r="J30" s="10">
        <v>5.8979999999999997</v>
      </c>
      <c r="K30" s="10">
        <v>5.1459999999999999</v>
      </c>
      <c r="L30" s="29">
        <v>4.8319999999999999</v>
      </c>
      <c r="M30" s="10">
        <v>4.5620000000000003</v>
      </c>
      <c r="N30" s="10">
        <v>4.3949999999999996</v>
      </c>
      <c r="P30" s="1">
        <v>23</v>
      </c>
      <c r="Q30" s="1">
        <f t="shared" si="0"/>
        <v>43.732042230387094</v>
      </c>
      <c r="R30" s="1">
        <f t="shared" si="0"/>
        <v>65.322474231011185</v>
      </c>
      <c r="S30" s="1">
        <f t="shared" si="0"/>
        <v>205.573478498409</v>
      </c>
      <c r="T30" s="1">
        <f t="shared" si="0"/>
        <v>703.22450727597572</v>
      </c>
      <c r="U30" s="1">
        <f t="shared" si="2"/>
        <v>4944.0419713005285</v>
      </c>
      <c r="V30" s="1">
        <f t="shared" si="0"/>
        <v>3710.6277264503096</v>
      </c>
      <c r="W30" s="1">
        <f t="shared" si="0"/>
        <v>2992.3973046130636</v>
      </c>
      <c r="X30" s="1">
        <f t="shared" si="0"/>
        <v>862.03389246514519</v>
      </c>
      <c r="Y30" s="1">
        <f t="shared" si="0"/>
        <v>420.80733852599661</v>
      </c>
      <c r="Z30" s="30">
        <f t="shared" si="1"/>
        <v>278.54436518339304</v>
      </c>
      <c r="AA30" s="1">
        <f t="shared" si="1"/>
        <v>177.31765984875273</v>
      </c>
      <c r="AB30" s="1">
        <f t="shared" si="1"/>
        <v>124.95990701899782</v>
      </c>
    </row>
    <row r="31" spans="2:28" x14ac:dyDescent="0.25">
      <c r="B31" s="1">
        <v>24</v>
      </c>
      <c r="C31" s="5">
        <v>4.0490000000000004</v>
      </c>
      <c r="D31" s="10">
        <v>4.1619999999999999</v>
      </c>
      <c r="E31" s="10">
        <v>4.6520000000000001</v>
      </c>
      <c r="F31" s="10">
        <v>5.742</v>
      </c>
      <c r="G31" s="10">
        <v>9.7029999999999994</v>
      </c>
      <c r="H31" s="10">
        <v>8.9570000000000007</v>
      </c>
      <c r="I31" s="10">
        <v>7.9960000000000004</v>
      </c>
      <c r="J31" s="10">
        <v>5.86</v>
      </c>
      <c r="K31" s="10">
        <v>5.1340000000000003</v>
      </c>
      <c r="L31" s="29">
        <v>4.8209999999999997</v>
      </c>
      <c r="M31" s="10">
        <v>4.5549999999999997</v>
      </c>
      <c r="N31" s="10">
        <v>4.3869999999999996</v>
      </c>
      <c r="P31" s="1">
        <v>24</v>
      </c>
      <c r="Q31" s="1">
        <f t="shared" si="0"/>
        <v>43.187049183854739</v>
      </c>
      <c r="R31" s="1">
        <f t="shared" si="0"/>
        <v>65.757864516628061</v>
      </c>
      <c r="S31" s="1">
        <f t="shared" si="0"/>
        <v>208.82613588666652</v>
      </c>
      <c r="T31" s="1">
        <f t="shared" si="0"/>
        <v>759.26712721064007</v>
      </c>
      <c r="U31" s="1">
        <f t="shared" si="2"/>
        <v>4993.8359773848924</v>
      </c>
      <c r="V31" s="1">
        <f t="shared" si="0"/>
        <v>3952.2308968785364</v>
      </c>
      <c r="W31" s="1">
        <f t="shared" si="0"/>
        <v>2771.2231842817228</v>
      </c>
      <c r="X31" s="1">
        <f t="shared" si="0"/>
        <v>836.47254557252597</v>
      </c>
      <c r="Y31" s="1">
        <f t="shared" si="0"/>
        <v>414.90070755167255</v>
      </c>
      <c r="Z31" s="30">
        <f t="shared" si="1"/>
        <v>274.03176726845271</v>
      </c>
      <c r="AA31" s="1">
        <f t="shared" si="1"/>
        <v>174.96243451278841</v>
      </c>
      <c r="AB31" s="1">
        <f t="shared" si="1"/>
        <v>122.65532553529228</v>
      </c>
    </row>
    <row r="32" spans="2:28" x14ac:dyDescent="0.25">
      <c r="B32" s="1">
        <v>25</v>
      </c>
      <c r="C32" s="5">
        <v>4.048</v>
      </c>
      <c r="D32" s="10">
        <v>4.1689999999999996</v>
      </c>
      <c r="E32" s="10">
        <v>4.6559999999999997</v>
      </c>
      <c r="F32" s="10">
        <v>5.84</v>
      </c>
      <c r="G32" s="10">
        <v>9.7110000000000003</v>
      </c>
      <c r="H32" s="10">
        <v>9.0389999999999997</v>
      </c>
      <c r="I32" s="10">
        <v>7.7450000000000001</v>
      </c>
      <c r="J32" s="10">
        <v>5.83</v>
      </c>
      <c r="K32" s="10">
        <v>5.1180000000000003</v>
      </c>
      <c r="L32" s="29">
        <v>4.8109999999999999</v>
      </c>
      <c r="M32" s="10">
        <v>4.5519999999999996</v>
      </c>
      <c r="N32" s="10">
        <v>4.3780000000000001</v>
      </c>
      <c r="P32" s="1">
        <v>25</v>
      </c>
      <c r="Q32" s="1">
        <f t="shared" si="0"/>
        <v>43.006053978388415</v>
      </c>
      <c r="R32" s="1">
        <f t="shared" si="0"/>
        <v>67.291751148583145</v>
      </c>
      <c r="S32" s="1">
        <f t="shared" si="0"/>
        <v>210.27897540820123</v>
      </c>
      <c r="T32" s="1">
        <f t="shared" si="0"/>
        <v>823.15547528358741</v>
      </c>
      <c r="U32" s="1">
        <f t="shared" si="2"/>
        <v>5005.5841418200307</v>
      </c>
      <c r="V32" s="1">
        <f t="shared" si="0"/>
        <v>4061.4614496263207</v>
      </c>
      <c r="W32" s="1">
        <f t="shared" si="0"/>
        <v>2493.426387571657</v>
      </c>
      <c r="X32" s="1">
        <f t="shared" si="0"/>
        <v>816.5322586587389</v>
      </c>
      <c r="Y32" s="1">
        <f t="shared" si="0"/>
        <v>407.08245875265845</v>
      </c>
      <c r="Z32" s="30">
        <f t="shared" si="1"/>
        <v>269.95759914764602</v>
      </c>
      <c r="AA32" s="1">
        <f t="shared" si="1"/>
        <v>173.95730009940294</v>
      </c>
      <c r="AB32" s="1">
        <f t="shared" si="1"/>
        <v>120.08528143789805</v>
      </c>
    </row>
    <row r="33" spans="2:28" x14ac:dyDescent="0.25">
      <c r="B33" s="1">
        <v>26</v>
      </c>
      <c r="C33" s="5">
        <v>4.0490000000000004</v>
      </c>
      <c r="D33" s="10">
        <v>4.1879999999999997</v>
      </c>
      <c r="E33" s="10">
        <v>4.6589999999999998</v>
      </c>
      <c r="F33" s="10">
        <v>5.8920000000000003</v>
      </c>
      <c r="G33" s="9">
        <v>9.6869999999999994</v>
      </c>
      <c r="H33" s="10">
        <v>9.17</v>
      </c>
      <c r="I33" s="10">
        <v>7.64</v>
      </c>
      <c r="J33" s="9">
        <v>5.7969999999999997</v>
      </c>
      <c r="K33" s="10">
        <v>5.101</v>
      </c>
      <c r="L33" s="29">
        <v>4.8</v>
      </c>
      <c r="M33" s="10">
        <v>4.5439999999999996</v>
      </c>
      <c r="N33" s="10">
        <v>4.3730000000000002</v>
      </c>
      <c r="P33" s="1">
        <v>26</v>
      </c>
      <c r="Q33" s="1">
        <f t="shared" si="0"/>
        <v>43.187049183854739</v>
      </c>
      <c r="R33" s="1">
        <f t="shared" si="0"/>
        <v>71.53344715303632</v>
      </c>
      <c r="S33" s="1">
        <f t="shared" si="0"/>
        <v>211.37151518850544</v>
      </c>
      <c r="T33" s="1">
        <f t="shared" si="0"/>
        <v>857.97537225652263</v>
      </c>
      <c r="U33" s="1">
        <f t="shared" si="2"/>
        <v>4970.3761296417388</v>
      </c>
      <c r="V33" s="1">
        <f t="shared" si="0"/>
        <v>4238.6789210377183</v>
      </c>
      <c r="W33" s="1">
        <f t="shared" si="0"/>
        <v>2381.0644503133199</v>
      </c>
      <c r="X33" s="1">
        <f t="shared" si="0"/>
        <v>794.84303909189669</v>
      </c>
      <c r="Y33" s="1">
        <f t="shared" si="0"/>
        <v>398.84742389544664</v>
      </c>
      <c r="Z33" s="30">
        <f t="shared" si="1"/>
        <v>265.50708631686581</v>
      </c>
      <c r="AA33" s="1">
        <f t="shared" si="1"/>
        <v>171.28941922323307</v>
      </c>
      <c r="AB33" s="1">
        <f t="shared" si="1"/>
        <v>118.66784491343716</v>
      </c>
    </row>
    <row r="34" spans="2:28" x14ac:dyDescent="0.25">
      <c r="B34" s="1">
        <v>27</v>
      </c>
      <c r="C34" s="5">
        <v>4.05</v>
      </c>
      <c r="D34" s="10">
        <v>4.2080000000000002</v>
      </c>
      <c r="E34" s="10">
        <v>4.6639999999999997</v>
      </c>
      <c r="F34" s="10">
        <v>5.9379999999999997</v>
      </c>
      <c r="G34" s="10">
        <v>9.6479999999999997</v>
      </c>
      <c r="H34" s="10">
        <v>9.4009999999999998</v>
      </c>
      <c r="I34" s="10">
        <v>7.5380000000000003</v>
      </c>
      <c r="J34" s="10">
        <v>5.7679999999999998</v>
      </c>
      <c r="K34" s="10">
        <v>5.09</v>
      </c>
      <c r="L34" s="29">
        <v>4.79</v>
      </c>
      <c r="M34" s="10">
        <v>4.5369999999999999</v>
      </c>
      <c r="N34" s="10">
        <v>4.3710000000000004</v>
      </c>
      <c r="P34" s="1">
        <v>27</v>
      </c>
      <c r="Q34" s="1">
        <f t="shared" si="0"/>
        <v>43.368379072333433</v>
      </c>
      <c r="R34" s="1">
        <f t="shared" si="0"/>
        <v>76.121284892548601</v>
      </c>
      <c r="S34" s="1">
        <f t="shared" si="0"/>
        <v>213.19795338234351</v>
      </c>
      <c r="T34" s="1">
        <f t="shared" si="0"/>
        <v>889.3059671135851</v>
      </c>
      <c r="U34" s="1">
        <f t="shared" si="2"/>
        <v>4913.3966824428671</v>
      </c>
      <c r="V34" s="1">
        <f t="shared" si="0"/>
        <v>4559.2671164028707</v>
      </c>
      <c r="W34" s="1">
        <f t="shared" si="0"/>
        <v>2274.1035922817623</v>
      </c>
      <c r="X34" s="1">
        <f t="shared" si="0"/>
        <v>775.995417401081</v>
      </c>
      <c r="Y34" s="1">
        <f t="shared" si="0"/>
        <v>393.55840437507612</v>
      </c>
      <c r="Z34" s="30">
        <f t="shared" si="1"/>
        <v>261.48946555441432</v>
      </c>
      <c r="AA34" s="1">
        <f t="shared" si="1"/>
        <v>168.96993206168943</v>
      </c>
      <c r="AB34" s="1">
        <f t="shared" si="1"/>
        <v>118.10294657835001</v>
      </c>
    </row>
    <row r="35" spans="2:28" x14ac:dyDescent="0.25">
      <c r="B35" s="1">
        <v>28</v>
      </c>
      <c r="C35" s="5">
        <v>4.0510000000000002</v>
      </c>
      <c r="D35" s="10">
        <v>4.2389999999999999</v>
      </c>
      <c r="E35" s="10">
        <v>4.6829999999999998</v>
      </c>
      <c r="F35" s="28">
        <v>5.9790000000000001</v>
      </c>
      <c r="G35" s="10">
        <v>9.6129999999999995</v>
      </c>
      <c r="H35" s="10">
        <v>9.61</v>
      </c>
      <c r="I35" s="9">
        <v>7.44</v>
      </c>
      <c r="J35" s="9">
        <v>5.7359999999999998</v>
      </c>
      <c r="K35" s="10">
        <v>5.077</v>
      </c>
      <c r="L35" s="29">
        <v>4.7779999999999996</v>
      </c>
      <c r="M35" s="10">
        <v>4.5289999999999999</v>
      </c>
      <c r="N35" s="10">
        <v>4.3719999999999999</v>
      </c>
      <c r="P35" s="1">
        <v>28</v>
      </c>
      <c r="Q35" s="1">
        <f t="shared" si="0"/>
        <v>43.550043476720923</v>
      </c>
      <c r="R35" s="1">
        <f t="shared" si="0"/>
        <v>83.479398339777731</v>
      </c>
      <c r="S35" s="1">
        <f t="shared" si="0"/>
        <v>220.20144213432221</v>
      </c>
      <c r="T35" s="1">
        <f t="shared" si="0"/>
        <v>917.64734828241728</v>
      </c>
      <c r="U35" s="1">
        <f t="shared" si="2"/>
        <v>4862.5077809625145</v>
      </c>
      <c r="V35" s="1">
        <f t="shared" si="0"/>
        <v>4858.156734784131</v>
      </c>
      <c r="W35" s="1">
        <f t="shared" si="0"/>
        <v>2173.3820580869201</v>
      </c>
      <c r="X35" s="1">
        <f t="shared" si="0"/>
        <v>755.42956717049412</v>
      </c>
      <c r="Y35" s="1">
        <f t="shared" si="0"/>
        <v>387.34786998595092</v>
      </c>
      <c r="Z35" s="30">
        <f t="shared" si="1"/>
        <v>256.70396898638364</v>
      </c>
      <c r="AA35" s="1">
        <f t="shared" si="1"/>
        <v>166.33615835036369</v>
      </c>
      <c r="AB35" s="1">
        <f t="shared" si="1"/>
        <v>118.38524735636445</v>
      </c>
    </row>
    <row r="36" spans="2:28" x14ac:dyDescent="0.25">
      <c r="B36" s="1">
        <v>29</v>
      </c>
      <c r="C36" s="9">
        <v>4.0469999999999997</v>
      </c>
      <c r="D36" s="10">
        <v>4.2489999999999997</v>
      </c>
      <c r="E36" s="10">
        <v>4.6959999999999997</v>
      </c>
      <c r="F36" s="10">
        <v>6.0519999999999996</v>
      </c>
      <c r="G36" s="10">
        <v>9.58</v>
      </c>
      <c r="H36" s="10">
        <v>9.7170000000000005</v>
      </c>
      <c r="I36" s="10">
        <v>7.3490000000000002</v>
      </c>
      <c r="J36" s="10">
        <v>5.6989999999999998</v>
      </c>
      <c r="K36" s="10">
        <v>5.0629999999999997</v>
      </c>
      <c r="L36" s="29">
        <v>4.766</v>
      </c>
      <c r="M36" s="10">
        <v>4.5259999999999998</v>
      </c>
      <c r="N36" s="10">
        <v>4.3609999999999998</v>
      </c>
      <c r="P36" s="1">
        <v>29</v>
      </c>
      <c r="Q36" s="1">
        <f t="shared" si="0"/>
        <v>42.825393623514962</v>
      </c>
      <c r="R36" s="1">
        <f t="shared" si="0"/>
        <v>85.91656614745726</v>
      </c>
      <c r="S36" s="1">
        <f t="shared" si="0"/>
        <v>225.05065477330879</v>
      </c>
      <c r="T36" s="1">
        <f t="shared" si="0"/>
        <v>969.07534979852676</v>
      </c>
      <c r="U36" s="1">
        <f t="shared" si="2"/>
        <v>4814.7406566440895</v>
      </c>
      <c r="V36" s="1">
        <f t="shared" si="0"/>
        <v>5014.4032425983241</v>
      </c>
      <c r="W36" s="1">
        <f t="shared" si="0"/>
        <v>2081.6588232628537</v>
      </c>
      <c r="X36" s="1">
        <f t="shared" si="0"/>
        <v>731.95410481050806</v>
      </c>
      <c r="Y36" s="1">
        <f t="shared" si="0"/>
        <v>380.70830515433056</v>
      </c>
      <c r="Z36" s="30">
        <f t="shared" si="1"/>
        <v>251.95744250768874</v>
      </c>
      <c r="AA36" s="1">
        <f t="shared" si="1"/>
        <v>165.3531937064096</v>
      </c>
      <c r="AB36" s="1">
        <f t="shared" si="1"/>
        <v>115.29628029714513</v>
      </c>
    </row>
    <row r="37" spans="2:28" x14ac:dyDescent="0.25">
      <c r="B37" s="1">
        <v>30</v>
      </c>
      <c r="C37" s="9">
        <v>4.05</v>
      </c>
      <c r="D37" s="10">
        <v>4.2590000000000003</v>
      </c>
      <c r="E37" s="10">
        <v>4.7130000000000001</v>
      </c>
      <c r="F37" s="10">
        <v>6.1520000000000001</v>
      </c>
      <c r="G37" s="10"/>
      <c r="H37" s="10">
        <v>9.8040000000000003</v>
      </c>
      <c r="I37" s="10">
        <v>7.26</v>
      </c>
      <c r="J37" s="10">
        <v>5.6609999999999996</v>
      </c>
      <c r="K37" s="10">
        <v>5.05</v>
      </c>
      <c r="L37" s="29">
        <v>4.7539999999999996</v>
      </c>
      <c r="M37" s="10">
        <v>4.5179999999999998</v>
      </c>
      <c r="N37" s="10">
        <v>4.3570000000000002</v>
      </c>
      <c r="P37" s="1">
        <v>30</v>
      </c>
      <c r="Q37" s="1">
        <f t="shared" si="0"/>
        <v>43.368379072333433</v>
      </c>
      <c r="R37" s="1">
        <f t="shared" si="0"/>
        <v>88.384567958528862</v>
      </c>
      <c r="S37" s="1">
        <f t="shared" si="0"/>
        <v>231.46201496403569</v>
      </c>
      <c r="T37" s="1">
        <f t="shared" si="0"/>
        <v>1041.5212512003768</v>
      </c>
      <c r="U37" s="1"/>
      <c r="V37" s="1">
        <f t="shared" si="0"/>
        <v>5143.0477024560505</v>
      </c>
      <c r="W37" s="1">
        <f t="shared" si="0"/>
        <v>1993.6405416823116</v>
      </c>
      <c r="X37" s="1">
        <f t="shared" si="0"/>
        <v>708.18454828032986</v>
      </c>
      <c r="Y37" s="1">
        <f t="shared" ref="Y37" si="3">198.426*(K37-3.623)^1.787</f>
        <v>374.58830799188837</v>
      </c>
      <c r="Z37" s="30">
        <f t="shared" si="1"/>
        <v>247.24997290817248</v>
      </c>
      <c r="AA37" s="1">
        <f t="shared" si="1"/>
        <v>162.74450802542779</v>
      </c>
      <c r="AB37" s="1">
        <f t="shared" si="1"/>
        <v>114.18194503960895</v>
      </c>
    </row>
    <row r="38" spans="2:28" x14ac:dyDescent="0.25">
      <c r="B38" s="1">
        <v>31</v>
      </c>
      <c r="C38" s="9">
        <v>4.0490000000000004</v>
      </c>
      <c r="D38" s="10"/>
      <c r="E38" s="10">
        <v>4.718</v>
      </c>
      <c r="F38" s="9">
        <v>6.2160000000000002</v>
      </c>
      <c r="G38" s="10"/>
      <c r="H38" s="10">
        <v>9.9019999999999992</v>
      </c>
      <c r="I38" s="14"/>
      <c r="J38" s="10">
        <v>5.6289999999999996</v>
      </c>
      <c r="K38" s="14"/>
      <c r="L38" s="29">
        <v>4.7439999999999998</v>
      </c>
      <c r="M38" s="10">
        <v>4.5129999999999999</v>
      </c>
      <c r="N38" s="10"/>
      <c r="P38" s="1">
        <v>31</v>
      </c>
      <c r="Q38" s="1">
        <f t="shared" si="0"/>
        <v>43.187049183854739</v>
      </c>
      <c r="R38" s="1"/>
      <c r="S38" s="1">
        <f t="shared" si="0"/>
        <v>233.36279012789339</v>
      </c>
      <c r="T38" s="1">
        <f t="shared" si="0"/>
        <v>1089.0897611866726</v>
      </c>
      <c r="U38" s="1"/>
      <c r="V38" s="1">
        <f t="shared" si="0"/>
        <v>5289.6735542238248</v>
      </c>
      <c r="W38" s="1"/>
      <c r="X38" s="1">
        <f t="shared" si="0"/>
        <v>688.43659392228165</v>
      </c>
      <c r="Y38" s="1"/>
      <c r="Z38" s="30">
        <f t="shared" si="1"/>
        <v>243.35698007437344</v>
      </c>
      <c r="AA38" s="1">
        <f t="shared" si="1"/>
        <v>161.12336358140757</v>
      </c>
      <c r="AB38" s="1"/>
    </row>
    <row r="39" spans="2:28" ht="15" x14ac:dyDescent="0.25">
      <c r="B39" s="1"/>
      <c r="C39" s="5"/>
      <c r="D39" s="5"/>
      <c r="E39" s="5"/>
      <c r="F39" s="5"/>
      <c r="G39" s="5"/>
      <c r="H39" s="5"/>
      <c r="I39" s="9"/>
      <c r="J39" s="9"/>
      <c r="K39" s="9"/>
      <c r="L39" s="9"/>
      <c r="M39" s="9"/>
      <c r="N39" s="11"/>
    </row>
    <row r="40" spans="2:28" x14ac:dyDescent="0.25">
      <c r="B40" s="6" t="s">
        <v>24</v>
      </c>
      <c r="C40" s="5">
        <f t="shared" ref="C40:N40" si="4">AVERAGE(C8:C38)</f>
        <v>4.0410322580645159</v>
      </c>
      <c r="D40" s="5">
        <f t="shared" si="4"/>
        <v>4.1184333333333338</v>
      </c>
      <c r="E40" s="5">
        <f t="shared" si="4"/>
        <v>4.5311612903225802</v>
      </c>
      <c r="F40" s="5">
        <f t="shared" si="4"/>
        <v>5.2881290322580643</v>
      </c>
      <c r="G40" s="5">
        <f t="shared" si="4"/>
        <v>8.1298620689655188</v>
      </c>
      <c r="H40" s="5">
        <f t="shared" si="4"/>
        <v>8.9136774193548352</v>
      </c>
      <c r="I40" s="9">
        <f t="shared" si="4"/>
        <v>9.1048333333333336</v>
      </c>
      <c r="J40" s="9">
        <f>AVERAGE(J8:J39)</f>
        <v>6.2223225806451614</v>
      </c>
      <c r="K40" s="9">
        <f t="shared" si="4"/>
        <v>5.289366666666667</v>
      </c>
      <c r="L40" s="9">
        <f t="shared" si="4"/>
        <v>4.8933225806451608</v>
      </c>
      <c r="M40" s="9">
        <f t="shared" si="4"/>
        <v>4.6165941506064527</v>
      </c>
      <c r="N40" s="9">
        <f t="shared" si="4"/>
        <v>4.4399666666666668</v>
      </c>
      <c r="P40" s="6" t="s">
        <v>24</v>
      </c>
      <c r="Q40" s="1">
        <f>AVERAGE(Q8:Q38)</f>
        <v>41.770302751033093</v>
      </c>
      <c r="R40" s="1">
        <f>AVERAGE(R8:R38)</f>
        <v>57.174215163315239</v>
      </c>
      <c r="S40" s="1">
        <f t="shared" ref="S40:AB40" si="5">AVERAGE(S8:S38)</f>
        <v>169.62813276024846</v>
      </c>
      <c r="T40" s="1">
        <f t="shared" si="5"/>
        <v>521.32750664514072</v>
      </c>
      <c r="U40" s="1">
        <f t="shared" si="5"/>
        <v>3096.8085996231353</v>
      </c>
      <c r="V40" s="1">
        <f t="shared" si="5"/>
        <v>3925.357360659139</v>
      </c>
      <c r="W40" s="1">
        <f t="shared" si="5"/>
        <v>4253.4780041468803</v>
      </c>
      <c r="X40" s="1">
        <f t="shared" ref="X40" si="6">AVERAGE(X8:X38)</f>
        <v>1114.8635469383632</v>
      </c>
      <c r="Y40" s="1">
        <f t="shared" si="5"/>
        <v>497.46063464170146</v>
      </c>
      <c r="Z40" s="1">
        <f t="shared" si="5"/>
        <v>305.19391571540655</v>
      </c>
      <c r="AA40" s="1">
        <f t="shared" si="5"/>
        <v>196.80858373917553</v>
      </c>
      <c r="AB40" s="1">
        <f t="shared" si="5"/>
        <v>138.61640122711995</v>
      </c>
    </row>
    <row r="41" spans="2:28" x14ac:dyDescent="0.25">
      <c r="B41" s="6" t="s">
        <v>25</v>
      </c>
      <c r="C41" s="5">
        <f t="shared" ref="C41:N41" si="7">MAX(C8:C38)</f>
        <v>4.0549999999999997</v>
      </c>
      <c r="D41" s="5">
        <f t="shared" si="7"/>
        <v>4.2590000000000003</v>
      </c>
      <c r="E41" s="5">
        <f t="shared" si="7"/>
        <v>4.718</v>
      </c>
      <c r="F41" s="5">
        <f t="shared" si="7"/>
        <v>6.2160000000000002</v>
      </c>
      <c r="G41" s="5">
        <f t="shared" si="7"/>
        <v>9.7110000000000003</v>
      </c>
      <c r="H41" s="5">
        <f t="shared" si="7"/>
        <v>9.9019999999999992</v>
      </c>
      <c r="I41" s="9">
        <f t="shared" si="7"/>
        <v>10.25</v>
      </c>
      <c r="J41" s="9">
        <f>MAX(J8:J39)</f>
        <v>7.1950000000000003</v>
      </c>
      <c r="K41" s="9">
        <f t="shared" si="7"/>
        <v>5.6020000000000003</v>
      </c>
      <c r="L41" s="9">
        <f t="shared" si="7"/>
        <v>5.0339999999999998</v>
      </c>
      <c r="M41" s="9">
        <f t="shared" si="7"/>
        <v>4.7388585106159429</v>
      </c>
      <c r="N41" s="9">
        <f t="shared" si="7"/>
        <v>4.5110000000000001</v>
      </c>
      <c r="P41" s="6" t="s">
        <v>25</v>
      </c>
      <c r="Q41" s="1">
        <f>MAX(Q8:Q38)</f>
        <v>44.280042927819757</v>
      </c>
      <c r="R41" s="1">
        <f t="shared" ref="R41:AB41" si="8">MAX(R8:R38)</f>
        <v>88.384567958528862</v>
      </c>
      <c r="S41" s="1">
        <f t="shared" si="8"/>
        <v>233.36279012789339</v>
      </c>
      <c r="T41" s="1">
        <f t="shared" si="8"/>
        <v>1089.0897611866726</v>
      </c>
      <c r="U41" s="1">
        <f t="shared" si="8"/>
        <v>5005.5841418200307</v>
      </c>
      <c r="V41" s="1">
        <f t="shared" si="8"/>
        <v>5289.6735542238248</v>
      </c>
      <c r="W41" s="1">
        <f t="shared" si="8"/>
        <v>5824.9473482869917</v>
      </c>
      <c r="X41" s="1">
        <f t="shared" ref="X41" si="9">MAX(X8:X38)</f>
        <v>1930.4179144797172</v>
      </c>
      <c r="Y41" s="1">
        <f t="shared" si="8"/>
        <v>671.96586486591275</v>
      </c>
      <c r="Z41" s="1">
        <f t="shared" si="8"/>
        <v>367.1160325501283</v>
      </c>
      <c r="AA41" s="1">
        <f t="shared" si="8"/>
        <v>241.36600000000021</v>
      </c>
      <c r="AB41" s="1">
        <f t="shared" si="8"/>
        <v>160.47690784082334</v>
      </c>
    </row>
    <row r="42" spans="2:28" x14ac:dyDescent="0.25">
      <c r="B42" s="6" t="s">
        <v>26</v>
      </c>
      <c r="C42" s="5">
        <f t="shared" ref="C42:N42" si="10">MIN(C8:C38)</f>
        <v>4.0229999999999997</v>
      </c>
      <c r="D42" s="5">
        <f t="shared" si="10"/>
        <v>4.0419999999999998</v>
      </c>
      <c r="E42" s="5">
        <f t="shared" si="10"/>
        <v>4.2729999999999997</v>
      </c>
      <c r="F42" s="5">
        <f t="shared" si="10"/>
        <v>4.7240000000000002</v>
      </c>
      <c r="G42" s="5">
        <f t="shared" si="10"/>
        <v>6.3129999999999997</v>
      </c>
      <c r="H42" s="5">
        <f t="shared" si="10"/>
        <v>8.0549999999999997</v>
      </c>
      <c r="I42" s="9">
        <f t="shared" si="10"/>
        <v>7.26</v>
      </c>
      <c r="J42" s="9">
        <f>MIN(J8:J39)</f>
        <v>5.6289999999999996</v>
      </c>
      <c r="K42" s="9">
        <f t="shared" si="10"/>
        <v>5.05</v>
      </c>
      <c r="L42" s="9">
        <f t="shared" si="10"/>
        <v>4.7439999999999998</v>
      </c>
      <c r="M42" s="9">
        <f t="shared" si="10"/>
        <v>4.5129999999999999</v>
      </c>
      <c r="N42" s="9">
        <f t="shared" si="10"/>
        <v>4.3570000000000002</v>
      </c>
      <c r="P42" s="6" t="s">
        <v>26</v>
      </c>
      <c r="Q42" s="1">
        <f>MIN(Q8:Q38)</f>
        <v>38.590444607333772</v>
      </c>
      <c r="R42" s="1">
        <f t="shared" ref="R42:AB42" si="11">MIN(R8:R38)</f>
        <v>41.927120507022664</v>
      </c>
      <c r="S42" s="1">
        <f t="shared" si="11"/>
        <v>91.8913741408482</v>
      </c>
      <c r="T42" s="1">
        <f t="shared" si="11"/>
        <v>235.65275242324765</v>
      </c>
      <c r="U42" s="1">
        <f t="shared" si="11"/>
        <v>1162.9630115137959</v>
      </c>
      <c r="V42" s="1">
        <f t="shared" si="11"/>
        <v>2838.3917379822688</v>
      </c>
      <c r="W42" s="1">
        <f t="shared" si="11"/>
        <v>1993.6405416823116</v>
      </c>
      <c r="X42" s="1">
        <f t="shared" ref="X42" si="12">MIN(X8:X38)</f>
        <v>688.43659392228165</v>
      </c>
      <c r="Y42" s="1">
        <f t="shared" si="11"/>
        <v>374.58830799188837</v>
      </c>
      <c r="Z42" s="1">
        <f t="shared" si="11"/>
        <v>243.35698007437344</v>
      </c>
      <c r="AA42" s="1">
        <f t="shared" si="11"/>
        <v>161.12336358140757</v>
      </c>
      <c r="AB42" s="1">
        <f t="shared" si="11"/>
        <v>114.18194503960895</v>
      </c>
    </row>
    <row r="43" spans="2:28" ht="15" x14ac:dyDescent="0.25">
      <c r="B43" s="1"/>
      <c r="C43" s="5"/>
      <c r="D43" s="5"/>
      <c r="E43" s="5"/>
      <c r="F43" s="5"/>
      <c r="G43" s="5"/>
      <c r="H43" s="5"/>
      <c r="I43" s="9"/>
      <c r="J43" s="9"/>
      <c r="K43" s="9"/>
      <c r="L43" s="9"/>
      <c r="M43" s="9"/>
      <c r="N43" s="11"/>
      <c r="P43" s="1"/>
      <c r="Q43" s="1"/>
      <c r="R43" s="1"/>
      <c r="S43" s="1"/>
      <c r="T43" s="1"/>
      <c r="U43" s="1"/>
      <c r="V43" s="1"/>
    </row>
    <row r="44" spans="2:28" ht="15" x14ac:dyDescent="0.25">
      <c r="B44" s="1"/>
      <c r="C44" s="12" t="s">
        <v>29</v>
      </c>
      <c r="D44" s="5"/>
      <c r="E44" s="5"/>
      <c r="F44" s="5"/>
      <c r="G44" s="5"/>
      <c r="H44" s="5"/>
      <c r="I44" s="9"/>
      <c r="J44" s="9"/>
      <c r="K44" s="9" t="s">
        <v>49</v>
      </c>
      <c r="L44" s="29" t="s">
        <v>48</v>
      </c>
      <c r="M44" s="9"/>
      <c r="N44" s="11"/>
      <c r="P44" s="1"/>
      <c r="Q44" s="16">
        <f>(Q40*86400*31)/10^9</f>
        <v>0.11187757888836704</v>
      </c>
      <c r="R44" s="16">
        <f>(R40*86400*30)/10^9</f>
        <v>0.1481955657033131</v>
      </c>
      <c r="S44" s="16">
        <f>(S40*86400*31)/10^9</f>
        <v>0.45433199078504943</v>
      </c>
      <c r="T44" s="16">
        <f>(T40*86400*31)/10^9</f>
        <v>1.3963235937983451</v>
      </c>
      <c r="U44" s="16">
        <f>(U40*86400*29)/10^9</f>
        <v>7.7593636272157278</v>
      </c>
      <c r="V44" s="16">
        <f>(V40*86400*31)/10^9</f>
        <v>10.513677154789438</v>
      </c>
      <c r="W44" s="16">
        <f>(W40*86400*30)/10^9</f>
        <v>11.025014986748715</v>
      </c>
      <c r="X44" s="16">
        <f>(X40*86400*31)/10^9</f>
        <v>2.9860505241197122</v>
      </c>
      <c r="Y44" s="16">
        <f>(Y40*86400*30)/10^9</f>
        <v>1.2894179649912902</v>
      </c>
      <c r="Z44" s="16">
        <f>(Z40*86400*31)/10^9</f>
        <v>0.81743138385214487</v>
      </c>
      <c r="AA44" s="16">
        <f t="shared" ref="AA44" si="13">(AA40*86400*31)/10^9</f>
        <v>0.52713211068700772</v>
      </c>
      <c r="AB44" s="16">
        <f>(AB40*86400*30)/10^9</f>
        <v>0.35929371198069487</v>
      </c>
    </row>
    <row r="45" spans="2:28" ht="15" x14ac:dyDescent="0.25">
      <c r="B45" s="1"/>
      <c r="C45" s="13"/>
      <c r="D45" s="5"/>
      <c r="E45" s="5"/>
      <c r="F45" s="5"/>
      <c r="G45" s="5"/>
      <c r="H45" s="5"/>
      <c r="I45" s="9"/>
      <c r="J45" s="9"/>
      <c r="K45" s="9"/>
      <c r="L45" s="9"/>
      <c r="M45" s="9"/>
      <c r="N45" s="11"/>
      <c r="P45" s="1"/>
      <c r="Q45" s="16">
        <f>Q44</f>
        <v>0.11187757888836704</v>
      </c>
      <c r="R45" s="16">
        <f t="shared" ref="R45:Y45" si="14">Q45+R44</f>
        <v>0.26007314459168013</v>
      </c>
      <c r="S45" s="16">
        <f t="shared" si="14"/>
        <v>0.71440513537672956</v>
      </c>
      <c r="T45" s="16">
        <f t="shared" si="14"/>
        <v>2.1107287291750749</v>
      </c>
      <c r="U45" s="5">
        <f t="shared" si="14"/>
        <v>9.8700923563908027</v>
      </c>
      <c r="V45" s="5">
        <f t="shared" si="14"/>
        <v>20.38376951118024</v>
      </c>
      <c r="W45" s="16">
        <f t="shared" si="14"/>
        <v>31.408784497928956</v>
      </c>
      <c r="X45" s="16">
        <f t="shared" si="14"/>
        <v>34.394835022048667</v>
      </c>
      <c r="Y45" s="16">
        <f t="shared" si="14"/>
        <v>35.684252987039955</v>
      </c>
      <c r="Z45" s="16">
        <f t="shared" ref="Z45" si="15">Y45+Z44</f>
        <v>36.5016843708921</v>
      </c>
      <c r="AA45" s="16">
        <f t="shared" ref="AA45" si="16">Z45+AA44</f>
        <v>37.028816481579106</v>
      </c>
      <c r="AB45" s="16">
        <f t="shared" ref="AB45" si="17">AA45+AB44</f>
        <v>37.388110193559804</v>
      </c>
    </row>
    <row r="46" spans="2:28" x14ac:dyDescent="0.25">
      <c r="I46" s="8"/>
      <c r="J46" s="8"/>
      <c r="K46" s="8"/>
      <c r="L46" s="8"/>
      <c r="M46" s="8"/>
      <c r="N46" s="9"/>
    </row>
    <row r="47" spans="2:28" x14ac:dyDescent="0.25">
      <c r="I47" s="8"/>
      <c r="J47" s="8"/>
      <c r="K47" s="8"/>
      <c r="L47" s="8"/>
      <c r="M47" s="8"/>
      <c r="N47" s="9"/>
    </row>
    <row r="48" spans="2:28" x14ac:dyDescent="0.25">
      <c r="I48" s="8"/>
      <c r="J48" s="8"/>
      <c r="K48" s="8"/>
      <c r="L48" s="8"/>
      <c r="M48" s="8"/>
      <c r="N48" s="9"/>
    </row>
    <row r="49" spans="9:14" x14ac:dyDescent="0.25">
      <c r="I49" s="8"/>
      <c r="J49" s="8"/>
      <c r="K49" s="8"/>
      <c r="L49" s="8"/>
      <c r="M49" s="8"/>
      <c r="N49" s="9"/>
    </row>
    <row r="50" spans="9:14" x14ac:dyDescent="0.25">
      <c r="I50" s="8"/>
      <c r="J50" s="8"/>
      <c r="K50" s="8"/>
      <c r="L50" s="8"/>
      <c r="M50" s="8"/>
      <c r="N50" s="9"/>
    </row>
    <row r="51" spans="9:14" x14ac:dyDescent="0.25">
      <c r="I51" s="8"/>
      <c r="J51" s="8"/>
      <c r="K51" s="8"/>
      <c r="L51" s="8"/>
      <c r="M51" s="8"/>
      <c r="N51" s="9"/>
    </row>
    <row r="52" spans="9:14" x14ac:dyDescent="0.25">
      <c r="I52" s="8"/>
      <c r="J52" s="8"/>
      <c r="K52" s="8"/>
      <c r="L52" s="8"/>
      <c r="M52" s="8"/>
      <c r="N52" s="9"/>
    </row>
    <row r="53" spans="9:14" x14ac:dyDescent="0.25">
      <c r="I53" s="8"/>
      <c r="J53" s="8"/>
      <c r="K53" s="8"/>
      <c r="L53" s="8"/>
      <c r="M53" s="8"/>
      <c r="N53" s="9"/>
    </row>
    <row r="54" spans="9:14" x14ac:dyDescent="0.25">
      <c r="I54" s="8"/>
      <c r="J54" s="8"/>
      <c r="K54" s="8"/>
      <c r="L54" s="8"/>
      <c r="M54" s="8"/>
      <c r="N54" s="9"/>
    </row>
    <row r="55" spans="9:14" x14ac:dyDescent="0.25">
      <c r="I55" s="8"/>
      <c r="J55" s="8"/>
      <c r="K55" s="8"/>
      <c r="L55" s="8"/>
      <c r="M55" s="8"/>
      <c r="N55" s="9"/>
    </row>
    <row r="56" spans="9:14" x14ac:dyDescent="0.25">
      <c r="I56" s="8"/>
      <c r="J56" s="8"/>
      <c r="K56" s="8"/>
      <c r="L56" s="8"/>
      <c r="M56" s="8"/>
      <c r="N56" s="9"/>
    </row>
    <row r="57" spans="9:14" x14ac:dyDescent="0.25">
      <c r="I57" s="8"/>
      <c r="J57" s="8"/>
      <c r="K57" s="8"/>
      <c r="L57" s="8"/>
      <c r="M57" s="8"/>
      <c r="N57" s="9"/>
    </row>
    <row r="58" spans="9:14" x14ac:dyDescent="0.25">
      <c r="I58" s="8"/>
      <c r="J58" s="8"/>
      <c r="K58" s="8"/>
      <c r="L58" s="8"/>
      <c r="M58" s="8"/>
      <c r="N58" s="9"/>
    </row>
    <row r="59" spans="9:14" x14ac:dyDescent="0.25">
      <c r="I59" s="8"/>
      <c r="J59" s="8"/>
      <c r="K59" s="8"/>
      <c r="L59" s="8"/>
      <c r="M59" s="8"/>
      <c r="N59" s="9"/>
    </row>
    <row r="60" spans="9:14" x14ac:dyDescent="0.25">
      <c r="I60" s="8"/>
      <c r="J60" s="8"/>
      <c r="K60" s="8"/>
      <c r="L60" s="8"/>
      <c r="M60" s="8"/>
      <c r="N60" s="9"/>
    </row>
    <row r="61" spans="9:14" x14ac:dyDescent="0.25">
      <c r="I61" s="8"/>
      <c r="J61" s="8"/>
      <c r="K61" s="8"/>
      <c r="L61" s="8"/>
      <c r="M61" s="8"/>
      <c r="N61" s="9"/>
    </row>
    <row r="62" spans="9:14" x14ac:dyDescent="0.25">
      <c r="I62" s="8"/>
      <c r="J62" s="8"/>
      <c r="K62" s="8"/>
      <c r="L62" s="8"/>
      <c r="M62" s="8"/>
      <c r="N62" s="9"/>
    </row>
    <row r="63" spans="9:14" x14ac:dyDescent="0.25">
      <c r="I63" s="8"/>
      <c r="J63" s="8"/>
      <c r="K63" s="8"/>
      <c r="L63" s="8"/>
      <c r="M63" s="8"/>
      <c r="N63" s="9"/>
    </row>
    <row r="64" spans="9:14" x14ac:dyDescent="0.25">
      <c r="I64" s="8"/>
      <c r="J64" s="8"/>
      <c r="K64" s="8"/>
      <c r="L64" s="8"/>
      <c r="M64" s="8"/>
    </row>
    <row r="65" spans="9:13" x14ac:dyDescent="0.25">
      <c r="I65" s="8"/>
      <c r="J65" s="8"/>
      <c r="K65" s="8"/>
      <c r="L65" s="8"/>
      <c r="M65" s="8"/>
    </row>
    <row r="66" spans="9:13" x14ac:dyDescent="0.25">
      <c r="I66" s="8"/>
      <c r="J66" s="8"/>
      <c r="K66" s="8"/>
      <c r="L66" s="8"/>
      <c r="M66" s="8"/>
    </row>
    <row r="67" spans="9:13" x14ac:dyDescent="0.25">
      <c r="I67" s="8"/>
      <c r="J67" s="8"/>
      <c r="K67" s="8"/>
      <c r="L67" s="8"/>
      <c r="M67" s="8"/>
    </row>
    <row r="68" spans="9:13" x14ac:dyDescent="0.25">
      <c r="I68" s="8"/>
      <c r="J68" s="8"/>
      <c r="K68" s="8"/>
      <c r="L68" s="8"/>
      <c r="M68" s="8"/>
    </row>
    <row r="69" spans="9:13" x14ac:dyDescent="0.25">
      <c r="I69" s="8"/>
      <c r="J69" s="8"/>
      <c r="K69" s="8"/>
      <c r="L69" s="8"/>
      <c r="M69" s="8"/>
    </row>
    <row r="70" spans="9:13" x14ac:dyDescent="0.25">
      <c r="I70" s="8"/>
      <c r="J70" s="8"/>
      <c r="K70" s="8"/>
      <c r="L70" s="8"/>
      <c r="M70" s="8"/>
    </row>
    <row r="71" spans="9:13" x14ac:dyDescent="0.25">
      <c r="I71" s="8"/>
      <c r="J71" s="8"/>
      <c r="K71" s="8"/>
      <c r="L71" s="8"/>
      <c r="M71" s="8"/>
    </row>
    <row r="72" spans="9:13" x14ac:dyDescent="0.25">
      <c r="I72" s="8"/>
      <c r="J72" s="8"/>
      <c r="K72" s="8"/>
      <c r="L72" s="8"/>
      <c r="M72" s="8"/>
    </row>
    <row r="73" spans="9:13" x14ac:dyDescent="0.25">
      <c r="I73" s="8"/>
      <c r="J73" s="8"/>
      <c r="K73" s="8"/>
      <c r="L73" s="8"/>
      <c r="M73" s="8"/>
    </row>
    <row r="74" spans="9:13" x14ac:dyDescent="0.25">
      <c r="I74" s="8"/>
      <c r="J74" s="8"/>
      <c r="K74" s="8"/>
      <c r="L74" s="8"/>
      <c r="M74" s="8"/>
    </row>
    <row r="75" spans="9:13" x14ac:dyDescent="0.25">
      <c r="I75" s="8"/>
      <c r="J75" s="8"/>
      <c r="K75" s="8"/>
      <c r="L75" s="8"/>
      <c r="M75" s="8"/>
    </row>
    <row r="76" spans="9:13" x14ac:dyDescent="0.25">
      <c r="I76" s="8"/>
      <c r="J76" s="8"/>
      <c r="K76" s="8"/>
      <c r="L76" s="8"/>
      <c r="M76" s="8"/>
    </row>
    <row r="77" spans="9:13" x14ac:dyDescent="0.25">
      <c r="I77" s="8"/>
      <c r="J77" s="8"/>
      <c r="K77" s="8"/>
      <c r="L77" s="8"/>
      <c r="M77" s="8"/>
    </row>
    <row r="78" spans="9:13" x14ac:dyDescent="0.25">
      <c r="I78" s="8"/>
      <c r="J78" s="8"/>
      <c r="K78" s="8"/>
      <c r="L78" s="8"/>
      <c r="M78" s="8"/>
    </row>
    <row r="79" spans="9:13" x14ac:dyDescent="0.25">
      <c r="I79" s="8"/>
      <c r="J79" s="8"/>
      <c r="K79" s="8"/>
      <c r="L79" s="8"/>
      <c r="M79" s="8"/>
    </row>
    <row r="80" spans="9:13" x14ac:dyDescent="0.25">
      <c r="I80" s="8"/>
      <c r="J80" s="8"/>
      <c r="K80" s="8"/>
      <c r="L80" s="8"/>
      <c r="M80" s="8"/>
    </row>
    <row r="81" spans="9:13" x14ac:dyDescent="0.25">
      <c r="I81" s="8"/>
      <c r="J81" s="8"/>
      <c r="K81" s="8"/>
      <c r="L81" s="8"/>
      <c r="M81" s="8"/>
    </row>
    <row r="82" spans="9:13" x14ac:dyDescent="0.25">
      <c r="I82" s="8"/>
      <c r="J82" s="8"/>
      <c r="K82" s="8"/>
      <c r="L82" s="8"/>
      <c r="M82" s="8"/>
    </row>
    <row r="83" spans="9:13" x14ac:dyDescent="0.25">
      <c r="I83" s="8"/>
      <c r="J83" s="8"/>
      <c r="K83" s="8"/>
      <c r="L83" s="8"/>
      <c r="M83" s="8"/>
    </row>
    <row r="84" spans="9:13" x14ac:dyDescent="0.25">
      <c r="I84" s="8"/>
      <c r="J84" s="8"/>
      <c r="K84" s="8"/>
      <c r="L84" s="8"/>
      <c r="M84" s="8"/>
    </row>
    <row r="85" spans="9:13" x14ac:dyDescent="0.25">
      <c r="I85" s="8"/>
      <c r="J85" s="8"/>
      <c r="K85" s="8"/>
      <c r="L85" s="8"/>
      <c r="M85" s="8"/>
    </row>
    <row r="86" spans="9:13" x14ac:dyDescent="0.25">
      <c r="I86" s="8"/>
      <c r="J86" s="8"/>
      <c r="K86" s="8"/>
      <c r="L86" s="8"/>
      <c r="M86" s="8"/>
    </row>
    <row r="87" spans="9:13" x14ac:dyDescent="0.25">
      <c r="I87" s="8"/>
      <c r="J87" s="8"/>
      <c r="K87" s="8"/>
      <c r="L87" s="8"/>
      <c r="M87" s="8"/>
    </row>
    <row r="88" spans="9:13" x14ac:dyDescent="0.25">
      <c r="I88" s="8"/>
      <c r="J88" s="8"/>
      <c r="K88" s="8"/>
      <c r="L88" s="8"/>
      <c r="M88" s="8"/>
    </row>
    <row r="89" spans="9:13" x14ac:dyDescent="0.25">
      <c r="I89" s="8"/>
      <c r="J89" s="8"/>
      <c r="K89" s="8"/>
      <c r="L89" s="8"/>
      <c r="M89" s="8"/>
    </row>
    <row r="90" spans="9:13" x14ac:dyDescent="0.25">
      <c r="I90" s="8"/>
      <c r="J90" s="8"/>
      <c r="K90" s="8"/>
      <c r="L90" s="8"/>
      <c r="M90" s="8"/>
    </row>
    <row r="91" spans="9:13" x14ac:dyDescent="0.25">
      <c r="I91" s="8"/>
      <c r="J91" s="8"/>
      <c r="K91" s="8"/>
      <c r="L91" s="8"/>
      <c r="M91" s="8"/>
    </row>
    <row r="92" spans="9:13" x14ac:dyDescent="0.25">
      <c r="I92" s="8"/>
      <c r="J92" s="8"/>
      <c r="K92" s="8"/>
      <c r="L92" s="8"/>
      <c r="M92" s="8"/>
    </row>
    <row r="93" spans="9:13" x14ac:dyDescent="0.25">
      <c r="I93" s="8"/>
      <c r="J93" s="8"/>
      <c r="K93" s="8"/>
      <c r="L93" s="8"/>
      <c r="M93" s="8"/>
    </row>
    <row r="94" spans="9:13" x14ac:dyDescent="0.25">
      <c r="I94" s="8"/>
      <c r="J94" s="8"/>
      <c r="K94" s="8"/>
      <c r="L94" s="8"/>
      <c r="M94" s="8"/>
    </row>
    <row r="95" spans="9:13" x14ac:dyDescent="0.25">
      <c r="I95" s="8"/>
      <c r="J95" s="8"/>
      <c r="K95" s="8"/>
      <c r="L95" s="8"/>
      <c r="M95" s="8"/>
    </row>
    <row r="96" spans="9:13" x14ac:dyDescent="0.25">
      <c r="I96" s="8"/>
      <c r="J96" s="8"/>
      <c r="K96" s="8"/>
      <c r="L96" s="8"/>
      <c r="M96" s="8"/>
    </row>
    <row r="97" spans="9:13" x14ac:dyDescent="0.25">
      <c r="I97" s="8"/>
      <c r="J97" s="8"/>
      <c r="K97" s="8"/>
      <c r="L97" s="8"/>
      <c r="M97" s="8"/>
    </row>
    <row r="98" spans="9:13" x14ac:dyDescent="0.25">
      <c r="I98" s="8"/>
      <c r="J98" s="8"/>
      <c r="K98" s="8"/>
      <c r="L98" s="8"/>
      <c r="M98" s="8"/>
    </row>
    <row r="99" spans="9:13" x14ac:dyDescent="0.25">
      <c r="I99" s="8"/>
      <c r="J99" s="8"/>
      <c r="K99" s="8"/>
      <c r="L99" s="8"/>
      <c r="M99" s="8"/>
    </row>
    <row r="100" spans="9:13" x14ac:dyDescent="0.25">
      <c r="I100" s="8"/>
      <c r="J100" s="8"/>
      <c r="K100" s="8"/>
      <c r="L100" s="8"/>
      <c r="M100" s="8"/>
    </row>
    <row r="101" spans="9:13" x14ac:dyDescent="0.25">
      <c r="I101" s="8"/>
      <c r="J101" s="8"/>
      <c r="K101" s="8"/>
      <c r="L101" s="8"/>
      <c r="M101" s="8"/>
    </row>
    <row r="102" spans="9:13" x14ac:dyDescent="0.25">
      <c r="I102" s="8"/>
      <c r="J102" s="8"/>
      <c r="K102" s="8"/>
      <c r="L102" s="8"/>
      <c r="M102" s="8"/>
    </row>
    <row r="103" spans="9:13" x14ac:dyDescent="0.25">
      <c r="I103" s="8"/>
      <c r="J103" s="8"/>
      <c r="K103" s="8"/>
      <c r="L103" s="8"/>
      <c r="M103" s="8"/>
    </row>
    <row r="104" spans="9:13" x14ac:dyDescent="0.25">
      <c r="I104" s="8"/>
      <c r="J104" s="8"/>
      <c r="K104" s="8"/>
      <c r="L104" s="8"/>
      <c r="M104" s="8"/>
    </row>
    <row r="105" spans="9:13" x14ac:dyDescent="0.25">
      <c r="I105" s="8"/>
      <c r="J105" s="8"/>
      <c r="K105" s="8"/>
      <c r="L105" s="8"/>
      <c r="M105" s="8"/>
    </row>
    <row r="106" spans="9:13" x14ac:dyDescent="0.25">
      <c r="I106" s="8"/>
      <c r="J106" s="8"/>
      <c r="K106" s="8"/>
      <c r="L106" s="8"/>
      <c r="M106" s="8"/>
    </row>
    <row r="107" spans="9:13" x14ac:dyDescent="0.25">
      <c r="I107" s="8"/>
      <c r="J107" s="8"/>
      <c r="K107" s="8"/>
      <c r="L107" s="8"/>
      <c r="M107" s="8"/>
    </row>
    <row r="108" spans="9:13" x14ac:dyDescent="0.25">
      <c r="I108" s="8"/>
      <c r="J108" s="8"/>
      <c r="K108" s="8"/>
      <c r="L108" s="8"/>
      <c r="M108" s="8"/>
    </row>
    <row r="109" spans="9:13" x14ac:dyDescent="0.25">
      <c r="I109" s="8"/>
      <c r="J109" s="8"/>
      <c r="K109" s="8"/>
      <c r="L109" s="8"/>
      <c r="M109" s="8"/>
    </row>
    <row r="110" spans="9:13" x14ac:dyDescent="0.25">
      <c r="I110" s="8"/>
      <c r="J110" s="8"/>
      <c r="K110" s="8"/>
      <c r="L110" s="8"/>
      <c r="M110" s="8"/>
    </row>
    <row r="111" spans="9:13" x14ac:dyDescent="0.25">
      <c r="I111" s="8"/>
      <c r="J111" s="8"/>
      <c r="K111" s="8"/>
      <c r="L111" s="8"/>
      <c r="M111" s="8"/>
    </row>
    <row r="112" spans="9:13" x14ac:dyDescent="0.25">
      <c r="I112" s="8"/>
      <c r="J112" s="8"/>
      <c r="K112" s="8"/>
      <c r="L112" s="8"/>
      <c r="M112" s="8"/>
    </row>
    <row r="113" spans="9:13" x14ac:dyDescent="0.25">
      <c r="I113" s="8"/>
      <c r="J113" s="8"/>
      <c r="K113" s="8"/>
      <c r="L113" s="8"/>
      <c r="M113" s="8"/>
    </row>
    <row r="114" spans="9:13" x14ac:dyDescent="0.25">
      <c r="I114" s="8"/>
      <c r="J114" s="8"/>
      <c r="K114" s="8"/>
      <c r="L114" s="8"/>
      <c r="M114" s="8"/>
    </row>
    <row r="115" spans="9:13" x14ac:dyDescent="0.25">
      <c r="I115" s="8"/>
      <c r="J115" s="8"/>
      <c r="K115" s="8"/>
      <c r="L115" s="8"/>
      <c r="M115" s="8"/>
    </row>
    <row r="116" spans="9:13" x14ac:dyDescent="0.25">
      <c r="I116" s="8"/>
      <c r="J116" s="8"/>
      <c r="K116" s="8"/>
      <c r="L116" s="8"/>
      <c r="M116" s="8"/>
    </row>
    <row r="117" spans="9:13" x14ac:dyDescent="0.25">
      <c r="I117" s="8"/>
      <c r="J117" s="8"/>
      <c r="K117" s="8"/>
      <c r="L117" s="8"/>
      <c r="M117" s="8"/>
    </row>
    <row r="118" spans="9:13" x14ac:dyDescent="0.25">
      <c r="I118" s="8"/>
      <c r="J118" s="8"/>
      <c r="K118" s="8"/>
      <c r="L118" s="8"/>
      <c r="M118" s="8"/>
    </row>
    <row r="119" spans="9:13" x14ac:dyDescent="0.25">
      <c r="I119" s="8"/>
      <c r="J119" s="8"/>
      <c r="K119" s="8"/>
      <c r="L119" s="8"/>
      <c r="M119" s="8"/>
    </row>
    <row r="120" spans="9:13" x14ac:dyDescent="0.25">
      <c r="I120" s="8"/>
      <c r="J120" s="8"/>
      <c r="K120" s="8"/>
      <c r="L120" s="8"/>
      <c r="M120" s="8"/>
    </row>
    <row r="121" spans="9:13" x14ac:dyDescent="0.25">
      <c r="I121" s="8"/>
      <c r="J121" s="8"/>
      <c r="K121" s="8"/>
      <c r="L121" s="8"/>
      <c r="M121" s="8"/>
    </row>
    <row r="122" spans="9:13" x14ac:dyDescent="0.25">
      <c r="I122" s="8"/>
      <c r="J122" s="8"/>
      <c r="K122" s="8"/>
      <c r="L122" s="8"/>
      <c r="M122" s="8"/>
    </row>
    <row r="123" spans="9:13" x14ac:dyDescent="0.25">
      <c r="I123" s="8"/>
      <c r="J123" s="8"/>
      <c r="K123" s="8"/>
      <c r="L123" s="8"/>
      <c r="M123" s="8"/>
    </row>
    <row r="124" spans="9:13" x14ac:dyDescent="0.25">
      <c r="I124" s="8"/>
      <c r="J124" s="8"/>
      <c r="K124" s="8"/>
      <c r="L124" s="8"/>
      <c r="M124" s="8"/>
    </row>
    <row r="125" spans="9:13" x14ac:dyDescent="0.25">
      <c r="I125" s="8"/>
      <c r="J125" s="8"/>
      <c r="K125" s="8"/>
      <c r="L125" s="8"/>
      <c r="M125" s="8"/>
    </row>
    <row r="126" spans="9:13" x14ac:dyDescent="0.25">
      <c r="I126" s="8"/>
      <c r="J126" s="8"/>
      <c r="K126" s="8"/>
      <c r="L126" s="8"/>
      <c r="M126" s="8"/>
    </row>
    <row r="127" spans="9:13" x14ac:dyDescent="0.25">
      <c r="I127" s="8"/>
      <c r="J127" s="8"/>
      <c r="K127" s="8"/>
      <c r="L127" s="8"/>
      <c r="M127" s="8"/>
    </row>
    <row r="128" spans="9:13" x14ac:dyDescent="0.25">
      <c r="I128" s="8"/>
      <c r="J128" s="8"/>
      <c r="K128" s="8"/>
      <c r="L128" s="8"/>
      <c r="M128" s="8"/>
    </row>
    <row r="129" spans="9:13" x14ac:dyDescent="0.25">
      <c r="I129" s="8"/>
      <c r="J129" s="8"/>
      <c r="K129" s="8"/>
      <c r="L129" s="8"/>
      <c r="M129" s="8"/>
    </row>
    <row r="130" spans="9:13" x14ac:dyDescent="0.25">
      <c r="I130" s="8"/>
      <c r="J130" s="8"/>
      <c r="K130" s="8"/>
      <c r="L130" s="8"/>
      <c r="M130" s="8"/>
    </row>
    <row r="131" spans="9:13" x14ac:dyDescent="0.25">
      <c r="I131" s="8"/>
      <c r="J131" s="8"/>
      <c r="K131" s="8"/>
      <c r="L131" s="8"/>
      <c r="M131" s="8"/>
    </row>
    <row r="132" spans="9:13" x14ac:dyDescent="0.25">
      <c r="I132" s="8"/>
      <c r="J132" s="8"/>
      <c r="K132" s="8"/>
      <c r="L132" s="8"/>
      <c r="M132" s="8"/>
    </row>
    <row r="133" spans="9:13" x14ac:dyDescent="0.25">
      <c r="I133" s="8"/>
      <c r="J133" s="8"/>
      <c r="K133" s="8"/>
      <c r="L133" s="8"/>
      <c r="M133" s="8"/>
    </row>
    <row r="134" spans="9:13" x14ac:dyDescent="0.25">
      <c r="I134" s="8"/>
      <c r="J134" s="8"/>
      <c r="K134" s="8"/>
      <c r="L134" s="8"/>
      <c r="M134" s="8"/>
    </row>
    <row r="135" spans="9:13" x14ac:dyDescent="0.25">
      <c r="I135" s="8"/>
      <c r="J135" s="8"/>
      <c r="K135" s="8"/>
      <c r="L135" s="8"/>
      <c r="M135" s="8"/>
    </row>
    <row r="136" spans="9:13" x14ac:dyDescent="0.25">
      <c r="I136" s="8"/>
      <c r="J136" s="8"/>
      <c r="K136" s="8"/>
      <c r="L136" s="8"/>
      <c r="M136" s="8"/>
    </row>
    <row r="137" spans="9:13" x14ac:dyDescent="0.25">
      <c r="I137" s="8"/>
      <c r="J137" s="8"/>
      <c r="K137" s="8"/>
      <c r="L137" s="8"/>
      <c r="M137" s="8"/>
    </row>
    <row r="138" spans="9:13" x14ac:dyDescent="0.25">
      <c r="I138" s="8"/>
      <c r="J138" s="8"/>
      <c r="K138" s="8"/>
      <c r="L138" s="8"/>
      <c r="M138" s="8"/>
    </row>
    <row r="139" spans="9:13" x14ac:dyDescent="0.25">
      <c r="I139" s="8"/>
      <c r="J139" s="8"/>
      <c r="K139" s="8"/>
      <c r="L139" s="8"/>
      <c r="M139" s="8"/>
    </row>
    <row r="140" spans="9:13" x14ac:dyDescent="0.25">
      <c r="I140" s="8"/>
      <c r="J140" s="8"/>
      <c r="K140" s="8"/>
      <c r="L140" s="8"/>
      <c r="M140" s="8"/>
    </row>
    <row r="141" spans="9:13" x14ac:dyDescent="0.25">
      <c r="I141" s="8"/>
      <c r="J141" s="8"/>
      <c r="K141" s="8"/>
      <c r="L141" s="8"/>
      <c r="M141" s="8"/>
    </row>
    <row r="142" spans="9:13" x14ac:dyDescent="0.25">
      <c r="I142" s="8"/>
      <c r="J142" s="8"/>
      <c r="K142" s="8"/>
      <c r="L142" s="8"/>
      <c r="M142" s="8"/>
    </row>
    <row r="143" spans="9:13" x14ac:dyDescent="0.25">
      <c r="I143" s="8"/>
      <c r="J143" s="8"/>
      <c r="K143" s="8"/>
      <c r="L143" s="8"/>
      <c r="M143" s="8"/>
    </row>
    <row r="144" spans="9:13" x14ac:dyDescent="0.25">
      <c r="I144" s="8"/>
      <c r="J144" s="8"/>
      <c r="K144" s="8"/>
      <c r="L144" s="8"/>
      <c r="M144" s="8"/>
    </row>
    <row r="145" spans="9:13" x14ac:dyDescent="0.25">
      <c r="I145" s="8"/>
      <c r="J145" s="8"/>
      <c r="K145" s="8"/>
      <c r="L145" s="8"/>
      <c r="M145" s="8"/>
    </row>
    <row r="146" spans="9:13" x14ac:dyDescent="0.25">
      <c r="I146" s="8"/>
      <c r="J146" s="8"/>
      <c r="K146" s="8"/>
      <c r="L146" s="8"/>
      <c r="M146" s="8"/>
    </row>
    <row r="147" spans="9:13" x14ac:dyDescent="0.25">
      <c r="I147" s="8"/>
      <c r="J147" s="8"/>
      <c r="K147" s="8"/>
      <c r="L147" s="8"/>
      <c r="M147" s="8"/>
    </row>
    <row r="148" spans="9:13" x14ac:dyDescent="0.25">
      <c r="I148" s="8"/>
      <c r="J148" s="8"/>
      <c r="K148" s="8"/>
      <c r="L148" s="8"/>
      <c r="M148" s="8"/>
    </row>
    <row r="149" spans="9:13" x14ac:dyDescent="0.25">
      <c r="I149" s="8"/>
      <c r="J149" s="8"/>
      <c r="K149" s="8"/>
      <c r="L149" s="8"/>
      <c r="M149" s="8"/>
    </row>
    <row r="150" spans="9:13" x14ac:dyDescent="0.25">
      <c r="I150" s="8"/>
      <c r="J150" s="8"/>
      <c r="K150" s="8"/>
      <c r="L150" s="8"/>
      <c r="M150" s="8"/>
    </row>
    <row r="151" spans="9:13" x14ac:dyDescent="0.25">
      <c r="I151" s="8"/>
      <c r="J151" s="8"/>
      <c r="K151" s="8"/>
      <c r="L151" s="8"/>
      <c r="M151" s="8"/>
    </row>
  </sheetData>
  <phoneticPr fontId="3" type="noConversion"/>
  <pageMargins left="0.75" right="0.75" top="1" bottom="1" header="0.5" footer="0.5"/>
  <pageSetup paperSize="9" scale="8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20AB6"/>
  </sheetPr>
  <dimension ref="B3:P50"/>
  <sheetViews>
    <sheetView workbookViewId="0">
      <selection activeCell="L11" sqref="L11:L40"/>
    </sheetView>
  </sheetViews>
  <sheetFormatPr defaultRowHeight="13.2" x14ac:dyDescent="0.25"/>
  <sheetData>
    <row r="3" spans="2:16" ht="15" x14ac:dyDescent="0.25">
      <c r="E3" t="s">
        <v>1</v>
      </c>
      <c r="N3" s="2"/>
      <c r="O3" s="16"/>
      <c r="P3" s="16"/>
    </row>
    <row r="4" spans="2:16" ht="15" x14ac:dyDescent="0.25">
      <c r="B4" t="s">
        <v>0</v>
      </c>
      <c r="N4" s="2"/>
      <c r="O4" s="16"/>
      <c r="P4" s="16"/>
    </row>
    <row r="5" spans="2:16" ht="15" x14ac:dyDescent="0.25">
      <c r="E5" s="4" t="s">
        <v>44</v>
      </c>
      <c r="N5" s="2"/>
      <c r="O5" s="16"/>
      <c r="P5" s="16"/>
    </row>
    <row r="6" spans="2:16" ht="15" x14ac:dyDescent="0.25">
      <c r="N6" s="2"/>
      <c r="O6" s="16"/>
      <c r="P6" s="16"/>
    </row>
    <row r="7" spans="2:16" ht="15" x14ac:dyDescent="0.25">
      <c r="B7" t="s">
        <v>3</v>
      </c>
      <c r="C7" t="s">
        <v>0</v>
      </c>
      <c r="E7" s="17" t="s">
        <v>47</v>
      </c>
      <c r="N7" s="2"/>
      <c r="O7" s="16"/>
      <c r="P7" s="16"/>
    </row>
    <row r="8" spans="2:16" ht="15" x14ac:dyDescent="0.25">
      <c r="N8" s="2"/>
      <c r="O8" s="16"/>
      <c r="P8" s="16"/>
    </row>
    <row r="9" spans="2:16" x14ac:dyDescent="0.25">
      <c r="B9" s="18" t="s">
        <v>4</v>
      </c>
      <c r="C9" s="19" t="s">
        <v>30</v>
      </c>
      <c r="D9" s="19" t="s">
        <v>31</v>
      </c>
      <c r="E9" s="19" t="s">
        <v>32</v>
      </c>
      <c r="F9" s="19" t="s">
        <v>33</v>
      </c>
      <c r="G9" s="19" t="s">
        <v>34</v>
      </c>
      <c r="H9" s="19" t="s">
        <v>35</v>
      </c>
      <c r="I9" s="19" t="s">
        <v>36</v>
      </c>
      <c r="J9" s="19" t="s">
        <v>37</v>
      </c>
      <c r="K9" s="19" t="s">
        <v>38</v>
      </c>
      <c r="L9" s="19" t="s">
        <v>39</v>
      </c>
      <c r="M9" s="19" t="s">
        <v>40</v>
      </c>
      <c r="N9" s="19" t="s">
        <v>41</v>
      </c>
      <c r="O9" s="16"/>
      <c r="P9" s="16"/>
    </row>
    <row r="10" spans="2:16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0"/>
      <c r="O10" s="16"/>
      <c r="P10" s="16"/>
    </row>
    <row r="11" spans="2:16" x14ac:dyDescent="0.25">
      <c r="B11" s="21">
        <v>1</v>
      </c>
      <c r="C11" s="22"/>
      <c r="D11" s="22"/>
      <c r="E11" s="20"/>
      <c r="F11" s="22"/>
      <c r="G11" s="22"/>
      <c r="H11" s="22">
        <v>1.1000000000000001</v>
      </c>
      <c r="I11" s="22">
        <v>22.7</v>
      </c>
      <c r="J11" s="22">
        <v>12.8</v>
      </c>
      <c r="K11" s="22">
        <v>0</v>
      </c>
      <c r="L11" s="22">
        <v>0</v>
      </c>
      <c r="M11" s="22"/>
      <c r="N11" s="22"/>
      <c r="O11" s="16"/>
      <c r="P11" s="16"/>
    </row>
    <row r="12" spans="2:16" x14ac:dyDescent="0.25">
      <c r="B12" s="21">
        <v>2</v>
      </c>
      <c r="C12" s="22"/>
      <c r="D12" s="22"/>
      <c r="E12" s="20"/>
      <c r="F12" s="23"/>
      <c r="G12" s="22"/>
      <c r="H12" s="22">
        <v>19.600000000000001</v>
      </c>
      <c r="I12" s="22">
        <v>1.2</v>
      </c>
      <c r="J12" s="22">
        <v>3.1</v>
      </c>
      <c r="K12" s="22">
        <v>0</v>
      </c>
      <c r="L12" s="22">
        <v>8.8000000000000007</v>
      </c>
      <c r="M12" s="22"/>
      <c r="N12" s="22"/>
      <c r="O12" s="16"/>
      <c r="P12" s="16"/>
    </row>
    <row r="13" spans="2:16" x14ac:dyDescent="0.25">
      <c r="B13" s="21">
        <v>3</v>
      </c>
      <c r="C13" s="22"/>
      <c r="D13" s="22"/>
      <c r="E13" s="20"/>
      <c r="F13" s="22"/>
      <c r="G13" s="22"/>
      <c r="H13" s="22"/>
      <c r="I13" s="22">
        <v>17</v>
      </c>
      <c r="J13" s="22">
        <v>72</v>
      </c>
      <c r="K13" s="22">
        <v>0</v>
      </c>
      <c r="L13" s="22">
        <v>9.1</v>
      </c>
      <c r="M13" s="22"/>
      <c r="N13" s="22"/>
      <c r="O13" s="16"/>
      <c r="P13" s="16"/>
    </row>
    <row r="14" spans="2:16" x14ac:dyDescent="0.25">
      <c r="B14" s="21">
        <v>4</v>
      </c>
      <c r="C14" s="22"/>
      <c r="D14" s="22"/>
      <c r="E14" s="20"/>
      <c r="F14" s="22">
        <v>3</v>
      </c>
      <c r="G14" s="22"/>
      <c r="H14" s="22">
        <v>4.3</v>
      </c>
      <c r="I14" s="22">
        <v>2.5</v>
      </c>
      <c r="J14" s="22">
        <v>0</v>
      </c>
      <c r="K14" s="22">
        <v>25.5</v>
      </c>
      <c r="L14" s="22">
        <v>0</v>
      </c>
      <c r="M14" s="23"/>
      <c r="N14" s="22"/>
      <c r="O14" s="16"/>
      <c r="P14" s="16"/>
    </row>
    <row r="15" spans="2:16" x14ac:dyDescent="0.25">
      <c r="B15" s="21">
        <v>5</v>
      </c>
      <c r="C15" s="22"/>
      <c r="D15" s="22"/>
      <c r="E15" s="20"/>
      <c r="F15" s="22"/>
      <c r="G15" s="22">
        <v>29.1</v>
      </c>
      <c r="H15" s="22">
        <v>4</v>
      </c>
      <c r="I15" s="22">
        <v>18.100000000000001</v>
      </c>
      <c r="J15" s="22">
        <v>10.6</v>
      </c>
      <c r="K15" s="22">
        <v>0</v>
      </c>
      <c r="L15" s="22">
        <v>0</v>
      </c>
      <c r="M15" s="23"/>
      <c r="N15" s="22"/>
      <c r="O15" s="16"/>
      <c r="P15" s="16"/>
    </row>
    <row r="16" spans="2:16" x14ac:dyDescent="0.25">
      <c r="B16" s="21">
        <v>6</v>
      </c>
      <c r="C16" s="22"/>
      <c r="D16" s="22"/>
      <c r="E16" s="20"/>
      <c r="F16" s="22"/>
      <c r="G16" s="22"/>
      <c r="H16" s="22"/>
      <c r="I16" s="22">
        <v>0</v>
      </c>
      <c r="J16" s="22">
        <v>1.3</v>
      </c>
      <c r="K16" s="22">
        <v>0</v>
      </c>
      <c r="L16" s="22">
        <v>0</v>
      </c>
      <c r="M16" s="23"/>
      <c r="N16" s="22"/>
      <c r="O16" s="16"/>
      <c r="P16" s="16"/>
    </row>
    <row r="17" spans="2:16" x14ac:dyDescent="0.25">
      <c r="B17" s="21">
        <v>7</v>
      </c>
      <c r="C17" s="22"/>
      <c r="D17" s="22"/>
      <c r="E17" s="20"/>
      <c r="F17" s="22"/>
      <c r="G17" s="22">
        <v>3</v>
      </c>
      <c r="H17" s="23">
        <v>20.3</v>
      </c>
      <c r="I17" s="22">
        <v>0</v>
      </c>
      <c r="J17" s="22">
        <v>0</v>
      </c>
      <c r="K17" s="22">
        <v>0</v>
      </c>
      <c r="L17" s="22">
        <v>0</v>
      </c>
      <c r="M17" s="23"/>
      <c r="N17" s="22"/>
      <c r="O17" s="16"/>
      <c r="P17" s="16"/>
    </row>
    <row r="18" spans="2:16" x14ac:dyDescent="0.25">
      <c r="B18" s="21">
        <v>8</v>
      </c>
      <c r="C18" s="22"/>
      <c r="D18" s="22"/>
      <c r="E18" s="20"/>
      <c r="F18" s="22"/>
      <c r="G18" s="22">
        <v>10.7</v>
      </c>
      <c r="H18" s="23">
        <v>0.8</v>
      </c>
      <c r="I18" s="22">
        <v>12.4</v>
      </c>
      <c r="J18" s="22">
        <v>0</v>
      </c>
      <c r="K18" s="22">
        <v>0</v>
      </c>
      <c r="L18" s="22">
        <v>0</v>
      </c>
      <c r="M18" s="22"/>
      <c r="N18" s="22"/>
      <c r="O18" s="16"/>
      <c r="P18" s="16"/>
    </row>
    <row r="19" spans="2:16" x14ac:dyDescent="0.25">
      <c r="B19" s="21">
        <v>9</v>
      </c>
      <c r="C19" s="22"/>
      <c r="D19" s="22"/>
      <c r="E19" s="20"/>
      <c r="F19" s="22">
        <v>16.8</v>
      </c>
      <c r="G19" s="22">
        <v>4.9000000000000004</v>
      </c>
      <c r="H19" s="23">
        <v>23.8</v>
      </c>
      <c r="I19" s="22">
        <v>17.899999999999999</v>
      </c>
      <c r="J19" s="22">
        <v>9.6</v>
      </c>
      <c r="K19" s="22">
        <v>0</v>
      </c>
      <c r="L19" s="22">
        <v>0</v>
      </c>
      <c r="M19" s="22"/>
      <c r="N19" s="22"/>
      <c r="O19" s="16"/>
      <c r="P19" s="16"/>
    </row>
    <row r="20" spans="2:16" x14ac:dyDescent="0.25">
      <c r="B20" s="21">
        <v>10</v>
      </c>
      <c r="C20" s="22"/>
      <c r="D20" s="22"/>
      <c r="E20" s="20"/>
      <c r="F20" s="22"/>
      <c r="G20" s="22">
        <v>3.8</v>
      </c>
      <c r="H20" s="23"/>
      <c r="I20" s="22">
        <v>4.5</v>
      </c>
      <c r="J20" s="22">
        <v>10.199999999999999</v>
      </c>
      <c r="K20" s="22">
        <v>7.2</v>
      </c>
      <c r="L20" s="22">
        <v>0</v>
      </c>
      <c r="M20" s="22"/>
      <c r="N20" s="22"/>
      <c r="O20" s="16"/>
      <c r="P20" s="16"/>
    </row>
    <row r="21" spans="2:16" x14ac:dyDescent="0.25">
      <c r="B21" s="21">
        <v>11</v>
      </c>
      <c r="C21" s="22"/>
      <c r="D21" s="22"/>
      <c r="E21" s="20"/>
      <c r="F21" s="22">
        <v>0.5</v>
      </c>
      <c r="G21" s="22">
        <v>3.2</v>
      </c>
      <c r="H21" s="23"/>
      <c r="I21" s="22">
        <v>4.3</v>
      </c>
      <c r="J21" s="22">
        <v>0</v>
      </c>
      <c r="K21" s="22">
        <v>19.2</v>
      </c>
      <c r="L21" s="22">
        <v>0</v>
      </c>
      <c r="M21" s="22"/>
      <c r="N21" s="22"/>
      <c r="O21" s="16"/>
      <c r="P21" s="16"/>
    </row>
    <row r="22" spans="2:16" x14ac:dyDescent="0.25">
      <c r="B22" s="21">
        <v>12</v>
      </c>
      <c r="C22" s="22"/>
      <c r="D22" s="22"/>
      <c r="E22" s="20"/>
      <c r="F22" s="22"/>
      <c r="G22" s="22"/>
      <c r="H22" s="23"/>
      <c r="I22" s="22">
        <v>25.2</v>
      </c>
      <c r="J22" s="22">
        <v>1.8</v>
      </c>
      <c r="K22" s="22">
        <v>1.1000000000000001</v>
      </c>
      <c r="L22" s="22">
        <v>0</v>
      </c>
      <c r="M22" s="22"/>
      <c r="N22" s="22"/>
      <c r="O22" s="16"/>
      <c r="P22" s="16"/>
    </row>
    <row r="23" spans="2:16" x14ac:dyDescent="0.25">
      <c r="B23" s="21">
        <v>13</v>
      </c>
      <c r="C23" s="22"/>
      <c r="D23" s="22"/>
      <c r="E23" s="20"/>
      <c r="F23" s="22"/>
      <c r="G23" s="22">
        <v>3.9</v>
      </c>
      <c r="H23" s="23"/>
      <c r="I23" s="22">
        <v>10.7</v>
      </c>
      <c r="J23" s="22">
        <v>3.8</v>
      </c>
      <c r="K23" s="22">
        <v>0</v>
      </c>
      <c r="L23" s="22">
        <v>0</v>
      </c>
      <c r="M23" s="22"/>
      <c r="N23" s="22"/>
      <c r="O23" s="16"/>
      <c r="P23" s="16"/>
    </row>
    <row r="24" spans="2:16" x14ac:dyDescent="0.25">
      <c r="B24" s="21">
        <v>14</v>
      </c>
      <c r="C24" s="22"/>
      <c r="D24" s="22"/>
      <c r="E24" s="20"/>
      <c r="F24" s="22"/>
      <c r="G24" s="22"/>
      <c r="H24" s="23">
        <v>4.4000000000000004</v>
      </c>
      <c r="I24" s="22">
        <v>2.2999999999999998</v>
      </c>
      <c r="J24" s="22">
        <v>21.4</v>
      </c>
      <c r="K24" s="22">
        <v>7</v>
      </c>
      <c r="L24" s="22">
        <v>0</v>
      </c>
      <c r="M24" s="22"/>
      <c r="N24" s="22"/>
      <c r="O24" s="16"/>
      <c r="P24" s="16"/>
    </row>
    <row r="25" spans="2:16" x14ac:dyDescent="0.25">
      <c r="B25" s="21">
        <v>15</v>
      </c>
      <c r="C25" s="22"/>
      <c r="D25" s="22"/>
      <c r="E25" s="20"/>
      <c r="F25" s="22"/>
      <c r="G25" s="22">
        <v>0.9</v>
      </c>
      <c r="H25" s="23">
        <v>10</v>
      </c>
      <c r="I25" s="22">
        <v>3</v>
      </c>
      <c r="J25" s="22">
        <v>7.7</v>
      </c>
      <c r="K25" s="22">
        <v>0</v>
      </c>
      <c r="L25" s="22">
        <v>0</v>
      </c>
      <c r="M25" s="22"/>
      <c r="N25" s="22"/>
      <c r="O25" s="16"/>
      <c r="P25" s="16"/>
    </row>
    <row r="26" spans="2:16" x14ac:dyDescent="0.25">
      <c r="B26" s="21">
        <v>16</v>
      </c>
      <c r="C26" s="22"/>
      <c r="D26" s="22"/>
      <c r="E26" s="20"/>
      <c r="F26" s="22"/>
      <c r="G26" s="22"/>
      <c r="H26" s="23">
        <v>5.3</v>
      </c>
      <c r="I26" s="22">
        <v>5.4</v>
      </c>
      <c r="J26" s="23">
        <v>44.5</v>
      </c>
      <c r="K26" s="22">
        <v>3.3</v>
      </c>
      <c r="L26" s="22">
        <v>0</v>
      </c>
      <c r="M26" s="22"/>
      <c r="N26" s="22"/>
      <c r="O26" s="16"/>
      <c r="P26" s="16"/>
    </row>
    <row r="27" spans="2:16" x14ac:dyDescent="0.25">
      <c r="B27" s="21">
        <v>17</v>
      </c>
      <c r="C27" s="22"/>
      <c r="D27" s="22"/>
      <c r="E27" s="20"/>
      <c r="F27" s="22"/>
      <c r="G27" s="22"/>
      <c r="H27" s="23">
        <v>2.5</v>
      </c>
      <c r="I27" s="22">
        <v>0</v>
      </c>
      <c r="J27" s="23">
        <v>1.3</v>
      </c>
      <c r="K27" s="22">
        <v>6</v>
      </c>
      <c r="L27" s="22">
        <v>0</v>
      </c>
      <c r="M27" s="22"/>
      <c r="N27" s="22"/>
      <c r="O27" s="16"/>
      <c r="P27" s="16"/>
    </row>
    <row r="28" spans="2:16" x14ac:dyDescent="0.25">
      <c r="B28" s="21">
        <v>18</v>
      </c>
      <c r="C28" s="22"/>
      <c r="D28" s="22"/>
      <c r="E28" s="20"/>
      <c r="F28" s="22"/>
      <c r="G28" s="22"/>
      <c r="H28" s="23"/>
      <c r="I28" s="22">
        <v>0</v>
      </c>
      <c r="J28" s="22">
        <v>2</v>
      </c>
      <c r="K28" s="22">
        <v>0</v>
      </c>
      <c r="L28" s="22">
        <v>0</v>
      </c>
      <c r="M28" s="22"/>
      <c r="N28" s="22"/>
      <c r="O28" s="16"/>
      <c r="P28" s="16"/>
    </row>
    <row r="29" spans="2:16" x14ac:dyDescent="0.25">
      <c r="B29" s="21">
        <v>19</v>
      </c>
      <c r="C29" s="22"/>
      <c r="D29" s="22"/>
      <c r="E29" s="20"/>
      <c r="F29" s="22"/>
      <c r="G29" s="22"/>
      <c r="H29" s="23">
        <v>0.9</v>
      </c>
      <c r="I29" s="22">
        <v>17.2</v>
      </c>
      <c r="J29" s="23">
        <v>0.7</v>
      </c>
      <c r="K29" s="22">
        <v>2.8</v>
      </c>
      <c r="L29" s="22">
        <v>0</v>
      </c>
      <c r="M29" s="22"/>
      <c r="N29" s="22"/>
      <c r="O29" s="16"/>
      <c r="P29" s="16"/>
    </row>
    <row r="30" spans="2:16" x14ac:dyDescent="0.25">
      <c r="B30" s="21">
        <v>20</v>
      </c>
      <c r="C30" s="22"/>
      <c r="D30" s="22"/>
      <c r="E30" s="20"/>
      <c r="F30" s="22"/>
      <c r="G30" s="22">
        <v>2.2000000000000002</v>
      </c>
      <c r="H30" s="23"/>
      <c r="I30" s="22">
        <v>2.2000000000000002</v>
      </c>
      <c r="J30" s="23">
        <v>0</v>
      </c>
      <c r="K30" s="22">
        <v>24</v>
      </c>
      <c r="L30" s="22">
        <v>0</v>
      </c>
      <c r="M30" s="22"/>
      <c r="N30" s="22"/>
      <c r="O30" s="16"/>
      <c r="P30" s="16"/>
    </row>
    <row r="31" spans="2:16" x14ac:dyDescent="0.25">
      <c r="B31" s="21">
        <v>21</v>
      </c>
      <c r="C31" s="22"/>
      <c r="D31" s="22"/>
      <c r="E31" s="20"/>
      <c r="F31" s="22"/>
      <c r="G31" s="22"/>
      <c r="H31" s="23">
        <v>7.2</v>
      </c>
      <c r="I31" s="22">
        <v>22.9</v>
      </c>
      <c r="J31" s="22">
        <v>0</v>
      </c>
      <c r="K31" s="22">
        <v>40.5</v>
      </c>
      <c r="L31" s="22">
        <v>0</v>
      </c>
      <c r="M31" s="22"/>
      <c r="N31" s="22"/>
      <c r="O31" s="16"/>
      <c r="P31" s="16"/>
    </row>
    <row r="32" spans="2:16" x14ac:dyDescent="0.25">
      <c r="B32" s="21">
        <v>22</v>
      </c>
      <c r="C32" s="22"/>
      <c r="D32" s="22"/>
      <c r="E32" s="20"/>
      <c r="F32" s="22"/>
      <c r="G32" s="23">
        <v>16</v>
      </c>
      <c r="H32" s="23"/>
      <c r="I32" s="22">
        <v>44.9</v>
      </c>
      <c r="J32" s="22">
        <v>0</v>
      </c>
      <c r="K32" s="22">
        <v>1.7</v>
      </c>
      <c r="L32" s="22">
        <v>0</v>
      </c>
      <c r="M32" s="22"/>
      <c r="N32" s="22"/>
      <c r="O32" s="16"/>
      <c r="P32" s="16"/>
    </row>
    <row r="33" spans="2:16" x14ac:dyDescent="0.25">
      <c r="B33" s="21">
        <v>23</v>
      </c>
      <c r="C33" s="22"/>
      <c r="D33" s="22"/>
      <c r="E33" s="20"/>
      <c r="F33" s="22"/>
      <c r="G33" s="22">
        <v>0.8</v>
      </c>
      <c r="H33" s="23"/>
      <c r="I33" s="22">
        <v>2.8</v>
      </c>
      <c r="J33" s="22">
        <v>1.6</v>
      </c>
      <c r="K33" s="22">
        <v>0</v>
      </c>
      <c r="L33" s="22">
        <v>0</v>
      </c>
      <c r="M33" s="22"/>
      <c r="N33" s="22"/>
      <c r="O33" s="16"/>
      <c r="P33" s="16"/>
    </row>
    <row r="34" spans="2:16" x14ac:dyDescent="0.25">
      <c r="B34" s="21">
        <v>24</v>
      </c>
      <c r="C34" s="22"/>
      <c r="D34" s="22"/>
      <c r="E34" s="20"/>
      <c r="F34" s="22">
        <v>30.6</v>
      </c>
      <c r="G34" s="22">
        <v>1.8</v>
      </c>
      <c r="H34" s="23"/>
      <c r="I34" s="22">
        <v>0</v>
      </c>
      <c r="J34" s="23">
        <v>2.6</v>
      </c>
      <c r="K34" s="22">
        <v>5.2</v>
      </c>
      <c r="L34" s="22">
        <v>0</v>
      </c>
      <c r="M34" s="22"/>
      <c r="N34" s="22"/>
      <c r="O34" s="16"/>
      <c r="P34" s="16"/>
    </row>
    <row r="35" spans="2:16" x14ac:dyDescent="0.25">
      <c r="B35" s="21">
        <v>25</v>
      </c>
      <c r="C35" s="22"/>
      <c r="D35" s="22"/>
      <c r="E35" s="20"/>
      <c r="F35" s="22">
        <v>3</v>
      </c>
      <c r="G35" s="22">
        <v>2.2000000000000002</v>
      </c>
      <c r="H35" s="22">
        <v>10.9</v>
      </c>
      <c r="I35" s="22">
        <v>0</v>
      </c>
      <c r="J35" s="22">
        <v>24.9</v>
      </c>
      <c r="K35" s="22">
        <v>0</v>
      </c>
      <c r="L35" s="22">
        <v>0</v>
      </c>
      <c r="M35" s="22"/>
      <c r="N35" s="22"/>
      <c r="O35" s="16"/>
      <c r="P35" s="16"/>
    </row>
    <row r="36" spans="2:16" x14ac:dyDescent="0.25">
      <c r="B36" s="21">
        <v>26</v>
      </c>
      <c r="C36" s="22"/>
      <c r="D36" s="22"/>
      <c r="E36" s="20"/>
      <c r="F36" s="22">
        <v>1.5</v>
      </c>
      <c r="G36" s="22"/>
      <c r="H36" s="23"/>
      <c r="I36" s="22">
        <v>0</v>
      </c>
      <c r="J36" s="23">
        <v>0</v>
      </c>
      <c r="K36" s="22">
        <v>0</v>
      </c>
      <c r="L36" s="22">
        <v>0</v>
      </c>
      <c r="M36" s="22"/>
      <c r="N36" s="22"/>
      <c r="O36" s="16"/>
      <c r="P36" s="16"/>
    </row>
    <row r="37" spans="2:16" x14ac:dyDescent="0.25">
      <c r="B37" s="21">
        <v>27</v>
      </c>
      <c r="C37" s="22"/>
      <c r="D37" s="22">
        <v>1.5</v>
      </c>
      <c r="E37" s="20"/>
      <c r="F37" s="22"/>
      <c r="G37" s="22"/>
      <c r="H37" s="22"/>
      <c r="I37" s="22">
        <v>0</v>
      </c>
      <c r="J37" s="23">
        <v>0</v>
      </c>
      <c r="K37" s="22">
        <v>0</v>
      </c>
      <c r="L37" s="22">
        <v>0</v>
      </c>
      <c r="M37" s="22"/>
      <c r="N37" s="22"/>
      <c r="O37" s="16"/>
      <c r="P37" s="16"/>
    </row>
    <row r="38" spans="2:16" x14ac:dyDescent="0.25">
      <c r="B38" s="21">
        <v>28</v>
      </c>
      <c r="C38" s="22"/>
      <c r="D38" s="22"/>
      <c r="E38" s="20"/>
      <c r="F38" s="22">
        <v>24.4</v>
      </c>
      <c r="G38" s="22">
        <v>3.4</v>
      </c>
      <c r="H38" s="23"/>
      <c r="I38" s="22">
        <v>0</v>
      </c>
      <c r="J38" s="23">
        <v>2.8</v>
      </c>
      <c r="K38" s="22">
        <v>0</v>
      </c>
      <c r="L38" s="22">
        <v>0</v>
      </c>
      <c r="M38" s="22"/>
      <c r="N38" s="22"/>
      <c r="O38" s="16"/>
      <c r="P38" s="16"/>
    </row>
    <row r="39" spans="2:16" x14ac:dyDescent="0.25">
      <c r="B39" s="21">
        <v>29</v>
      </c>
      <c r="C39" s="22"/>
      <c r="D39" s="22"/>
      <c r="E39" s="20"/>
      <c r="F39" s="22">
        <v>2.2000000000000002</v>
      </c>
      <c r="G39" s="22">
        <v>6.6</v>
      </c>
      <c r="H39" s="23">
        <v>4.4000000000000004</v>
      </c>
      <c r="I39" s="22">
        <v>15.8</v>
      </c>
      <c r="J39" s="22">
        <v>0</v>
      </c>
      <c r="K39" s="22">
        <v>10.7</v>
      </c>
      <c r="L39" s="22">
        <v>0</v>
      </c>
      <c r="M39" s="22"/>
      <c r="N39" s="22"/>
      <c r="O39" s="16"/>
      <c r="P39" s="16"/>
    </row>
    <row r="40" spans="2:16" x14ac:dyDescent="0.25">
      <c r="B40" s="21">
        <v>30</v>
      </c>
      <c r="C40" s="22"/>
      <c r="D40" s="22"/>
      <c r="E40" s="20"/>
      <c r="F40" s="22"/>
      <c r="G40" s="22">
        <v>9.9</v>
      </c>
      <c r="H40" s="23"/>
      <c r="I40" s="23">
        <v>0</v>
      </c>
      <c r="J40" s="23"/>
      <c r="K40" s="22">
        <v>0</v>
      </c>
      <c r="L40" s="22">
        <v>0</v>
      </c>
      <c r="M40" s="22"/>
      <c r="N40" s="22"/>
      <c r="O40" s="16"/>
      <c r="P40" s="16"/>
    </row>
    <row r="41" spans="2:16" x14ac:dyDescent="0.25">
      <c r="B41" s="21">
        <v>31</v>
      </c>
      <c r="C41" s="22"/>
      <c r="D41" s="22"/>
      <c r="E41" s="20"/>
      <c r="F41" s="22"/>
      <c r="G41" s="22"/>
      <c r="H41" s="22"/>
      <c r="I41" s="23">
        <v>25.5</v>
      </c>
      <c r="J41" s="23"/>
      <c r="K41" s="22">
        <v>0.7</v>
      </c>
      <c r="L41" s="23"/>
      <c r="M41" s="22"/>
      <c r="N41" s="22"/>
      <c r="O41" s="16"/>
      <c r="P41" s="16"/>
    </row>
    <row r="42" spans="2:16" ht="15" x14ac:dyDescent="0.25">
      <c r="B42" s="1"/>
      <c r="C42" s="24"/>
      <c r="D42" s="24"/>
      <c r="E42" s="26"/>
      <c r="F42" s="26"/>
      <c r="G42" s="26"/>
      <c r="H42" s="26"/>
      <c r="I42" s="26"/>
      <c r="J42" s="26"/>
      <c r="K42" s="26"/>
      <c r="L42" s="26"/>
      <c r="M42" s="26"/>
      <c r="N42" s="27"/>
      <c r="O42" s="16"/>
      <c r="P42" s="16"/>
    </row>
    <row r="43" spans="2:16" x14ac:dyDescent="0.25">
      <c r="B43" s="17" t="s">
        <v>42</v>
      </c>
      <c r="C43" s="25">
        <f>SUM(C11:C41)</f>
        <v>0</v>
      </c>
      <c r="D43" s="25">
        <f t="shared" ref="D43:N43" si="0">SUM(D11:D41)</f>
        <v>1.5</v>
      </c>
      <c r="E43" s="25">
        <f t="shared" si="0"/>
        <v>0</v>
      </c>
      <c r="F43" s="25">
        <f t="shared" si="0"/>
        <v>82.000000000000014</v>
      </c>
      <c r="G43" s="25">
        <f t="shared" si="0"/>
        <v>102.39999999999999</v>
      </c>
      <c r="H43" s="25">
        <f t="shared" si="0"/>
        <v>119.50000000000003</v>
      </c>
      <c r="I43" s="25">
        <f t="shared" si="0"/>
        <v>278.5</v>
      </c>
      <c r="J43" s="25">
        <f t="shared" si="0"/>
        <v>234.7</v>
      </c>
      <c r="K43" s="25">
        <f t="shared" si="0"/>
        <v>154.89999999999998</v>
      </c>
      <c r="L43" s="25">
        <f t="shared" si="0"/>
        <v>17.899999999999999</v>
      </c>
      <c r="M43" s="25">
        <f t="shared" si="0"/>
        <v>0</v>
      </c>
      <c r="N43" s="25">
        <f t="shared" si="0"/>
        <v>0</v>
      </c>
      <c r="O43" s="16"/>
      <c r="P43" s="16"/>
    </row>
    <row r="44" spans="2:16" x14ac:dyDescent="0.25">
      <c r="B44" t="s">
        <v>43</v>
      </c>
      <c r="C44" s="24">
        <f t="shared" ref="C44:N44" si="1">MAX(C11:C41)</f>
        <v>0</v>
      </c>
      <c r="D44" s="24">
        <f t="shared" si="1"/>
        <v>1.5</v>
      </c>
      <c r="E44" s="24">
        <f t="shared" si="1"/>
        <v>0</v>
      </c>
      <c r="F44" s="24">
        <f t="shared" si="1"/>
        <v>30.6</v>
      </c>
      <c r="G44" s="24">
        <f t="shared" si="1"/>
        <v>29.1</v>
      </c>
      <c r="H44" s="24">
        <f t="shared" si="1"/>
        <v>23.8</v>
      </c>
      <c r="I44" s="24">
        <f t="shared" si="1"/>
        <v>44.9</v>
      </c>
      <c r="J44" s="24">
        <f t="shared" si="1"/>
        <v>72</v>
      </c>
      <c r="K44" s="24">
        <f t="shared" si="1"/>
        <v>40.5</v>
      </c>
      <c r="L44" s="24">
        <f t="shared" si="1"/>
        <v>9.1</v>
      </c>
      <c r="M44" s="24">
        <f t="shared" si="1"/>
        <v>0</v>
      </c>
      <c r="N44" s="24">
        <f t="shared" si="1"/>
        <v>0</v>
      </c>
      <c r="O44" s="16"/>
      <c r="P44" s="16"/>
    </row>
    <row r="45" spans="2:16" x14ac:dyDescent="0.25">
      <c r="O45" s="16"/>
      <c r="P45" s="16"/>
    </row>
    <row r="46" spans="2:16" x14ac:dyDescent="0.25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spans="2:16" x14ac:dyDescent="0.25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spans="2:16" x14ac:dyDescent="0.25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spans="2:16" x14ac:dyDescent="0.25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spans="2:16" x14ac:dyDescent="0.25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CHAV1920</vt:lpstr>
      <vt:lpstr>RAINFALL</vt:lpstr>
      <vt:lpstr>CHAV1920!Print_Area</vt:lpstr>
    </vt:vector>
  </TitlesOfParts>
  <Company>Zambezi River Authority, Head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HydroTech</dc:creator>
  <cp:lastModifiedBy>Emmanuel Hapunda</cp:lastModifiedBy>
  <cp:lastPrinted>2016-10-15T06:50:15Z</cp:lastPrinted>
  <dcterms:created xsi:type="dcterms:W3CDTF">2005-10-06T08:10:10Z</dcterms:created>
  <dcterms:modified xsi:type="dcterms:W3CDTF">2021-11-24T17:38:02Z</dcterms:modified>
</cp:coreProperties>
</file>